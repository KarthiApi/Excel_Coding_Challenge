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eyan V.H\OneDrive\Documents\"/>
    </mc:Choice>
  </mc:AlternateContent>
  <xr:revisionPtr revIDLastSave="0" documentId="8_{6DA2A29F-8DD2-4E2C-8CAC-B7EB30225B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ic Formulas IF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1" l="1"/>
  <c r="Y2" i="1"/>
  <c r="W2" i="1"/>
  <c r="U2" i="1"/>
  <c r="S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C7" i="2"/>
</calcChain>
</file>

<file path=xl/sharedStrings.xml><?xml version="1.0" encoding="utf-8"?>
<sst xmlns="http://schemas.openxmlformats.org/spreadsheetml/2006/main" count="8825" uniqueCount="2099">
  <si>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</si>
  <si>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</si>
  <si>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</si>
  <si>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</si>
  <si>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</si>
  <si>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</si>
  <si>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</si>
  <si>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</si>
  <si>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</si>
  <si>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</si>
  <si>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</si>
  <si>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</si>
  <si>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</si>
  <si>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</si>
  <si>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</si>
  <si>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</si>
  <si>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</si>
  <si>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</si>
  <si>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</si>
  <si>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</si>
  <si>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</si>
  <si>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</si>
  <si>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</si>
  <si>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</si>
  <si>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</si>
  <si>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</si>
  <si>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</si>
  <si>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</si>
  <si>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</si>
  <si>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</si>
  <si>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</si>
  <si>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</si>
  <si>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</si>
  <si>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</si>
  <si>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</si>
  <si>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</si>
  <si>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</si>
  <si>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</si>
  <si>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</si>
  <si>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</si>
  <si>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</si>
  <si>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</si>
  <si>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</si>
  <si>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</si>
  <si>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</si>
  <si>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</si>
  <si>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</si>
  <si>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</si>
  <si>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</si>
  <si>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</si>
  <si>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</si>
  <si>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</si>
  <si>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</si>
  <si>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</si>
  <si>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</si>
  <si>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</si>
  <si>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</si>
  <si>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</si>
  <si>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</si>
  <si>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</si>
  <si>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</si>
  <si>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</si>
  <si>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</si>
  <si>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</si>
  <si>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</si>
  <si>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</si>
  <si>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</si>
  <si>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</si>
  <si>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</si>
  <si>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</si>
  <si>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</si>
  <si>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</si>
  <si>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</si>
  <si>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</si>
  <si>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</si>
  <si>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</si>
  <si>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</si>
  <si>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</si>
  <si>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</si>
  <si>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</si>
  <si>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</si>
  <si>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</si>
  <si>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</si>
  <si>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</si>
  <si>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</si>
  <si>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</si>
  <si>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</si>
  <si>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</si>
  <si>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</si>
  <si>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</si>
  <si>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</si>
  <si>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</si>
  <si>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</si>
  <si>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</si>
  <si>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</si>
  <si>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</si>
  <si>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</si>
  <si>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</si>
  <si>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</si>
  <si>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</si>
  <si>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</si>
  <si>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</si>
  <si>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</si>
  <si>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</si>
  <si>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</si>
  <si>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</si>
  <si>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</si>
  <si>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</si>
  <si>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</si>
  <si>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</si>
  <si>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</si>
  <si>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</si>
  <si>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</si>
  <si>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</si>
  <si>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</si>
  <si>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</si>
  <si>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</si>
  <si>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</si>
  <si>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</si>
  <si>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</si>
  <si>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</si>
  <si>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</si>
  <si>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</si>
  <si>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</si>
  <si>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</si>
  <si>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</si>
  <si>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</si>
  <si>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</si>
  <si>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</si>
  <si>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</si>
  <si>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</si>
  <si>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</si>
  <si>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</si>
  <si>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</si>
  <si>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</si>
  <si>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</si>
  <si>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</si>
  <si>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</si>
  <si>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</si>
  <si>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</si>
  <si>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</si>
  <si>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</si>
  <si>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</si>
  <si>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</si>
  <si>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</si>
  <si>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</si>
  <si>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</si>
  <si>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</si>
  <si>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</si>
  <si>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</si>
  <si>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</si>
  <si>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</si>
  <si>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</si>
  <si>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</si>
  <si>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</si>
  <si>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</si>
  <si>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</si>
  <si>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</si>
  <si>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</si>
  <si>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</si>
  <si>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</si>
  <si>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</si>
  <si>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</si>
  <si>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</si>
  <si>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</si>
  <si>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</si>
  <si>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</si>
  <si>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</si>
  <si>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</si>
  <si>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</si>
  <si>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</si>
  <si>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</si>
  <si>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</si>
  <si>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</si>
  <si>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</si>
  <si>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</si>
  <si>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</si>
  <si>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</si>
  <si>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</si>
  <si>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</si>
  <si>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</si>
  <si>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</si>
  <si>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</si>
  <si>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</si>
  <si>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</si>
  <si>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</si>
  <si>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</si>
  <si>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</si>
  <si>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</si>
  <si>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</si>
  <si>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</si>
  <si>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</si>
  <si>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</si>
  <si>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</si>
  <si>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</si>
  <si>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</si>
  <si>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</si>
  <si>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</si>
  <si>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</si>
  <si>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</si>
  <si>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</si>
  <si>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</si>
  <si>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</si>
  <si>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</si>
  <si>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</si>
  <si>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</si>
  <si>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</si>
  <si>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</si>
  <si>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</si>
  <si>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</si>
  <si>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</si>
  <si>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</si>
  <si>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</si>
  <si>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</si>
  <si>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</si>
  <si>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</si>
  <si>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</si>
  <si>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</si>
  <si>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</si>
  <si>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</si>
  <si>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</si>
  <si>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</si>
  <si>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</si>
  <si>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</si>
  <si>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</si>
  <si>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</si>
  <si>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</si>
  <si>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</si>
  <si>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</si>
  <si>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</si>
  <si>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</si>
  <si>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</si>
  <si>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</si>
  <si>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</si>
  <si>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</si>
  <si>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</si>
  <si>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</si>
  <si>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</si>
  <si>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</si>
  <si>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</si>
  <si>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</si>
  <si>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</si>
  <si>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</si>
  <si>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</si>
  <si>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</si>
  <si>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</si>
  <si>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</si>
  <si>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</si>
  <si>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</si>
  <si>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</si>
  <si>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</si>
  <si>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</si>
  <si>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</si>
  <si>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</si>
  <si>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</si>
  <si>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</si>
  <si>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</si>
  <si>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</si>
  <si>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</si>
  <si>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</si>
  <si>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</si>
  <si>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</si>
  <si>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</si>
  <si>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</si>
  <si>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</si>
  <si>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</si>
  <si>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</si>
  <si>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</si>
  <si>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</si>
  <si>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</si>
  <si>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</si>
  <si>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</si>
  <si>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</si>
  <si>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</si>
  <si>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</si>
  <si>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</si>
  <si>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</si>
  <si>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</si>
  <si>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</si>
  <si>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</si>
  <si>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</si>
  <si>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</si>
  <si>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</si>
  <si>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</si>
  <si>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</si>
  <si>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</si>
  <si>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</si>
  <si>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</si>
  <si>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</si>
  <si>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</si>
  <si>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</si>
  <si>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</si>
  <si>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</si>
  <si>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</si>
  <si>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</si>
  <si>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</si>
  <si>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</si>
  <si>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</si>
  <si>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</si>
  <si>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</si>
  <si>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</si>
  <si>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</si>
  <si>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</si>
  <si>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</si>
  <si>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</si>
  <si>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</si>
  <si>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</si>
  <si>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</si>
  <si>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</si>
  <si>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</si>
  <si>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</si>
  <si>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</si>
  <si>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</si>
  <si>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</si>
  <si>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</si>
  <si>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</si>
  <si>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</si>
  <si>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</si>
  <si>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</si>
  <si>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</si>
  <si>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</si>
  <si>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</si>
  <si>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</si>
  <si>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</si>
  <si>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</si>
  <si>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</si>
  <si>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</si>
  <si>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</si>
  <si>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</si>
  <si>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</si>
  <si>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</si>
  <si>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</si>
  <si>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</si>
  <si>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</si>
  <si>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</si>
  <si>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</si>
  <si>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</si>
  <si>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</si>
  <si>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</si>
  <si>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</si>
  <si>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</si>
  <si>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</si>
  <si>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</si>
  <si>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</si>
  <si>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</si>
  <si>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</si>
  <si>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</si>
  <si>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</si>
  <si>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</si>
  <si>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</si>
  <si>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</si>
  <si>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</si>
  <si>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</si>
  <si>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</si>
  <si>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</si>
  <si>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</si>
  <si>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</si>
  <si>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</si>
  <si>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</si>
  <si>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</si>
  <si>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</si>
  <si>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</si>
  <si>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</si>
  <si>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</si>
  <si>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</si>
  <si>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</si>
  <si>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</si>
  <si>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</si>
  <si>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</si>
  <si>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</si>
  <si>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</si>
  <si>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</si>
  <si>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</si>
  <si>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</si>
  <si>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</si>
  <si>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</si>
  <si>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</si>
  <si>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</si>
  <si>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</si>
  <si>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</si>
  <si>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</si>
  <si>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</si>
  <si>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</si>
  <si>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</si>
  <si>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</si>
  <si>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</si>
  <si>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</si>
  <si>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</si>
  <si>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</si>
  <si>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</si>
  <si>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</si>
  <si>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</si>
  <si>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</si>
  <si>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</si>
  <si>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</si>
  <si>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</si>
  <si>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</si>
  <si>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</si>
  <si>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</si>
  <si>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</si>
  <si>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</si>
  <si>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</si>
  <si>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</si>
  <si>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</si>
  <si>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</si>
  <si>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</si>
  <si>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</si>
  <si>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</si>
  <si>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</si>
  <si>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</si>
  <si>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</si>
  <si>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</si>
  <si>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</si>
  <si>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</si>
  <si>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</si>
  <si>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</si>
  <si>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</si>
  <si>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</si>
  <si>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</si>
  <si>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</si>
  <si>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</si>
  <si>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</si>
  <si>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</si>
  <si>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</si>
  <si>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</si>
  <si>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</si>
  <si>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</si>
  <si>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</si>
  <si>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</si>
  <si>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</si>
  <si>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</si>
  <si>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</si>
  <si>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</si>
  <si>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</si>
  <si>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</si>
  <si>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</si>
  <si>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</si>
  <si>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</si>
  <si>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</si>
  <si>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</si>
  <si>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</si>
  <si>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</si>
  <si>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</si>
  <si>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</si>
  <si>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</si>
  <si>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</si>
  <si>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</si>
  <si>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</si>
  <si>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</si>
  <si>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</si>
  <si>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</si>
  <si>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</si>
  <si>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</si>
  <si>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</si>
  <si>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</si>
  <si>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</si>
  <si>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</si>
  <si>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</si>
  <si>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</si>
  <si>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</si>
  <si>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</si>
  <si>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</si>
  <si>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</si>
  <si>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</si>
  <si>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</si>
  <si>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</si>
  <si>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</si>
  <si>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</si>
  <si>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</si>
  <si>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</si>
  <si>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</si>
  <si>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</si>
  <si>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</si>
  <si>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</si>
  <si>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</si>
  <si>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</si>
  <si>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</si>
  <si>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</si>
  <si>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</si>
  <si>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</si>
  <si>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</si>
  <si>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</si>
  <si>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</si>
  <si>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</si>
  <si>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</si>
  <si>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</si>
  <si>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</si>
  <si>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</si>
  <si>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</si>
  <si>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</si>
  <si>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</si>
  <si>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</si>
  <si>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</si>
  <si>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</si>
  <si>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</si>
  <si>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</si>
  <si>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</si>
  <si>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</si>
  <si>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</si>
  <si>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</si>
  <si>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</si>
  <si>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</si>
  <si>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</si>
  <si>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</si>
  <si>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</si>
  <si>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</si>
  <si>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</si>
  <si>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</si>
  <si>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</si>
  <si>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</si>
  <si>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</si>
  <si>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</si>
  <si>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</si>
  <si>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</si>
  <si>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</si>
  <si>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</si>
  <si>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</si>
  <si>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</si>
  <si>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</si>
  <si>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</si>
  <si>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</si>
  <si>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</si>
  <si>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</si>
  <si>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</si>
  <si>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</si>
  <si>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</si>
  <si>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</si>
  <si>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</si>
  <si>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</si>
  <si>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</si>
  <si>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</si>
  <si>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</si>
  <si>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</si>
  <si>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</si>
  <si>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</si>
  <si>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</si>
  <si>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</si>
  <si>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</si>
  <si>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</si>
  <si>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</si>
  <si>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</si>
  <si>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</si>
  <si>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</si>
  <si>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</si>
  <si>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</si>
  <si>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</si>
  <si>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</si>
  <si>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</si>
  <si>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</si>
  <si>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</si>
  <si>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</si>
  <si>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</si>
  <si>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</si>
  <si>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</si>
  <si>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</si>
  <si>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</si>
  <si>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</si>
  <si>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</si>
  <si>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</si>
  <si>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</si>
  <si>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</si>
  <si>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</si>
  <si>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</si>
  <si>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</si>
  <si>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</si>
  <si>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</si>
  <si>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</si>
  <si>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</si>
  <si>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</si>
  <si>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</si>
  <si>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</si>
  <si>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</si>
  <si>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</si>
  <si>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</si>
  <si>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</si>
  <si>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</si>
  <si>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</si>
  <si>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</si>
  <si>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</si>
  <si>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</si>
  <si>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</si>
  <si>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</si>
  <si>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</si>
  <si>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</si>
  <si>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</si>
  <si>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</si>
  <si>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</si>
  <si>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</si>
  <si>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</si>
  <si>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</si>
  <si>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</si>
  <si>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</si>
  <si>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</si>
  <si>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</si>
  <si>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</si>
  <si>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</si>
  <si>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</si>
  <si>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</si>
  <si>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</si>
  <si>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</si>
  <si>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</si>
  <si>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</si>
  <si>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</si>
  <si>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</si>
  <si>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</si>
  <si>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</si>
  <si>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</si>
  <si>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</si>
  <si>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</si>
  <si>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</si>
  <si>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</si>
  <si>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</si>
  <si>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</si>
  <si>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</si>
  <si>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</si>
  <si>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</si>
  <si>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</si>
  <si>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</si>
  <si>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</si>
  <si>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</si>
  <si>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</si>
  <si>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</si>
  <si>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</si>
  <si>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</si>
  <si>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</si>
  <si>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</si>
  <si>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</si>
  <si>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</si>
  <si>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</si>
  <si>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</si>
  <si>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</si>
  <si>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</si>
  <si>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</si>
  <si>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</si>
  <si>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</si>
  <si>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</si>
  <si>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</si>
  <si>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</si>
  <si>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</si>
  <si>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</si>
  <si>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</si>
  <si>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</si>
  <si>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</si>
  <si>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</si>
  <si>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</si>
  <si>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</si>
  <si>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</si>
  <si>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</si>
  <si>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</si>
  <si>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</si>
  <si>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</si>
  <si>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</si>
  <si>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</si>
  <si>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</si>
  <si>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</si>
  <si>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</si>
  <si>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</si>
  <si>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</si>
  <si>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</si>
  <si>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</si>
  <si>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</si>
  <si>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</si>
  <si>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</si>
  <si>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</si>
  <si>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</si>
  <si>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</si>
  <si>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</si>
  <si>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</si>
  <si>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</si>
  <si>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</si>
  <si>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</si>
  <si>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</si>
  <si>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</si>
  <si>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</si>
  <si>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</si>
  <si>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</si>
  <si>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</si>
  <si>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</si>
  <si>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</si>
  <si>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</si>
  <si>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</si>
  <si>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</si>
  <si>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</si>
  <si>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</si>
  <si>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</si>
  <si>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</si>
  <si>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</si>
  <si>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</si>
  <si>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</si>
  <si>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</si>
  <si>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</si>
  <si>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</si>
  <si>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</si>
  <si>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</si>
  <si>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</si>
  <si>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</si>
  <si>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</si>
  <si>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</si>
  <si>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</si>
  <si>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</si>
  <si>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</si>
  <si>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</si>
  <si>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</si>
  <si>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</si>
  <si>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</si>
  <si>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</si>
  <si>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</si>
  <si>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</si>
  <si>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</si>
  <si>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</si>
  <si>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</si>
  <si>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</si>
  <si>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</si>
  <si>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</si>
  <si>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</si>
  <si>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</si>
  <si>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</si>
  <si>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</si>
  <si>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</si>
  <si>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</si>
  <si>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</si>
  <si>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</si>
  <si>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</si>
  <si>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</si>
  <si>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</si>
  <si>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</si>
  <si>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</si>
  <si>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</si>
  <si>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</si>
  <si>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</si>
  <si>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</si>
  <si>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</si>
  <si>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</si>
  <si>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</si>
  <si>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</si>
  <si>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</si>
  <si>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</si>
  <si>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</si>
  <si>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</si>
  <si>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</si>
  <si>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</si>
  <si>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</si>
  <si>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</si>
  <si>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</si>
  <si>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</si>
  <si>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</si>
  <si>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</si>
  <si>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</si>
  <si>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</si>
  <si>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</si>
  <si>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</si>
  <si>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</si>
  <si>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</si>
  <si>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</si>
  <si>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</si>
  <si>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</si>
  <si>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</si>
  <si>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</si>
  <si>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</si>
  <si>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</si>
  <si>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</si>
  <si>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</si>
  <si>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</si>
  <si>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</si>
  <si>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</si>
  <si>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</si>
  <si>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</si>
  <si>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</si>
  <si>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</si>
  <si>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</si>
  <si>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</si>
  <si>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</si>
  <si>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</si>
  <si>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</si>
  <si>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</si>
  <si>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</si>
  <si>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</si>
  <si>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</si>
  <si>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</si>
  <si>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</si>
  <si>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</si>
  <si>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</si>
  <si>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</si>
  <si>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</si>
  <si>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</si>
  <si>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</si>
  <si>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</si>
  <si>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</si>
  <si>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</si>
  <si>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</si>
  <si>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</si>
  <si>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</si>
  <si>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</si>
  <si>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</si>
  <si>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</si>
  <si>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</si>
  <si>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</si>
  <si>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</si>
  <si>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</si>
  <si>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</si>
  <si>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</si>
  <si>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</si>
  <si>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</si>
  <si>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</si>
  <si>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</si>
  <si>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</si>
  <si>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</si>
  <si>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</si>
  <si>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</si>
  <si>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</si>
  <si>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</si>
  <si>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</si>
  <si>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</si>
  <si>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</si>
  <si>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</si>
  <si>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</si>
  <si>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</si>
  <si>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</si>
  <si>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</si>
  <si>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</si>
  <si>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</si>
  <si>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</si>
  <si>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</si>
  <si>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</si>
  <si>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</si>
  <si>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</si>
  <si>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</si>
  <si>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</si>
  <si>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</si>
  <si>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</si>
  <si>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</si>
  <si>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</si>
  <si>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</si>
  <si>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</si>
  <si>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</si>
  <si>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</si>
  <si>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</si>
  <si>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</si>
  <si>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</si>
  <si>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</si>
  <si>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</si>
  <si>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</si>
  <si>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</si>
  <si>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</si>
  <si>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</si>
  <si>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</si>
  <si>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</si>
  <si>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</si>
  <si>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</si>
  <si>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</si>
  <si>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</si>
  <si>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</si>
  <si>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</si>
  <si>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</si>
  <si>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</si>
  <si>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</si>
  <si>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</si>
  <si>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</si>
  <si>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</si>
  <si>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</si>
  <si>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</si>
  <si>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</si>
  <si>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</si>
  <si>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</si>
  <si>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</si>
  <si>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</si>
  <si>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</si>
  <si>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</si>
  <si>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</si>
  <si>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</si>
  <si>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</si>
  <si>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</si>
  <si>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</si>
  <si>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</si>
  <si>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</si>
  <si>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</si>
  <si>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</si>
  <si>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</si>
  <si>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</si>
  <si>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</si>
  <si>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</si>
  <si>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</si>
  <si>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</si>
  <si>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</si>
  <si>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</si>
  <si>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</si>
  <si>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</si>
  <si>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</si>
  <si>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</si>
  <si>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</si>
  <si>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</si>
  <si>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</si>
  <si>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</si>
  <si>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</si>
  <si>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</si>
  <si>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</si>
  <si>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</si>
  <si>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</si>
  <si>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</si>
  <si>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</si>
  <si>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</si>
  <si>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</si>
  <si>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</si>
  <si>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</si>
  <si>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</si>
  <si>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</si>
  <si>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</si>
  <si>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</si>
  <si>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</si>
  <si>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</si>
  <si>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</si>
  <si>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</si>
  <si>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</si>
  <si>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</si>
  <si>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</si>
  <si>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</si>
  <si>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</si>
  <si>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</si>
  <si>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</si>
  <si>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</si>
  <si>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</si>
  <si>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</si>
  <si>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</si>
  <si>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</si>
  <si>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</si>
  <si>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</si>
  <si>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</si>
  <si>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</si>
  <si>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</si>
  <si>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</si>
  <si>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</si>
  <si>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</si>
  <si>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</si>
  <si>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</si>
  <si>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</si>
  <si>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</si>
  <si>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</si>
  <si>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</si>
  <si>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</si>
  <si>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</si>
  <si>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</si>
  <si>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</si>
  <si>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</si>
  <si>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</si>
  <si>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</si>
  <si>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</si>
  <si>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</si>
  <si>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</si>
  <si>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</si>
  <si>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</si>
  <si>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</si>
  <si>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</si>
  <si>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</si>
  <si>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</si>
  <si>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</si>
  <si>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</si>
  <si>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</si>
  <si>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</si>
  <si>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</si>
  <si>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</si>
  <si>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</si>
  <si>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</si>
  <si>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</si>
  <si>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</si>
  <si>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</si>
  <si>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</si>
  <si>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</si>
  <si>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</si>
  <si>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</si>
  <si>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</si>
  <si>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</si>
  <si>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</si>
  <si>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</si>
  <si>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</si>
  <si>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</si>
  <si>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</si>
  <si>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</si>
  <si>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</si>
  <si>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</si>
  <si>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</si>
  <si>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</si>
  <si>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</si>
  <si>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</si>
  <si>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</si>
  <si>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</si>
  <si>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</si>
  <si>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</si>
  <si>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</si>
  <si>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</si>
  <si>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</si>
  <si>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</si>
  <si>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</si>
  <si>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</si>
  <si>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</si>
  <si>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</si>
  <si>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</si>
  <si>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</si>
  <si>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</si>
  <si>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</si>
  <si>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</si>
  <si>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</si>
  <si>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</si>
  <si>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</si>
  <si>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</si>
  <si>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</si>
  <si>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</si>
  <si>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</si>
  <si>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</si>
  <si>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</si>
  <si>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</si>
  <si>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</si>
  <si>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</si>
  <si>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</si>
  <si>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</si>
  <si>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</si>
  <si>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</si>
  <si>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</si>
  <si>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</si>
  <si>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</si>
  <si>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</si>
  <si>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</si>
  <si>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</si>
  <si>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</si>
  <si>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</si>
  <si>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</si>
  <si>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</si>
  <si>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</si>
  <si>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</si>
  <si>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</si>
  <si>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</si>
  <si>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</si>
  <si>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</si>
  <si>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</si>
  <si>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</si>
  <si>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</si>
  <si>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</si>
  <si>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</si>
  <si>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</si>
  <si>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</si>
  <si>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</si>
  <si>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</si>
  <si>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</si>
  <si>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</si>
  <si>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</si>
  <si>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</si>
  <si>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</si>
  <si>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</si>
  <si>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</si>
  <si>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</si>
  <si>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</si>
  <si>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</si>
  <si>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</si>
  <si>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</si>
  <si>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</si>
  <si>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</si>
  <si>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</si>
  <si>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</si>
  <si>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</si>
  <si>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</si>
  <si>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</si>
  <si>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</si>
  <si>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</si>
  <si>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</si>
  <si>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</si>
  <si>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</si>
  <si>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</si>
  <si>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</si>
  <si>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</si>
  <si>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</si>
  <si>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</si>
  <si>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</si>
  <si>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</si>
  <si>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</si>
  <si>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</si>
  <si>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</si>
  <si>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</si>
  <si>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</si>
  <si>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</si>
  <si>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</si>
  <si>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</si>
  <si>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</si>
  <si>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</si>
  <si>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</si>
  <si>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</si>
  <si>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</si>
  <si>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</si>
  <si>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</si>
  <si>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</si>
  <si>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</si>
  <si>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</si>
  <si>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</si>
  <si>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</si>
  <si>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</si>
  <si>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</si>
  <si>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</si>
  <si>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</si>
  <si>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</si>
  <si>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</si>
  <si>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</si>
  <si>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</si>
  <si>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</si>
  <si>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</si>
  <si>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</si>
  <si>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</si>
  <si>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</si>
  <si>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</si>
  <si>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</si>
  <si>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</si>
  <si>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</si>
  <si>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</si>
  <si>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</si>
  <si>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</si>
  <si>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</si>
  <si>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</si>
  <si>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</si>
  <si>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</si>
  <si>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</si>
  <si>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</si>
  <si>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</si>
  <si>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</si>
  <si>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</si>
  <si>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</si>
  <si>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</si>
  <si>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</si>
  <si>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</si>
  <si>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</si>
  <si>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</si>
  <si>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</si>
  <si>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</si>
  <si>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</si>
  <si>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</si>
  <si>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</si>
  <si>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</si>
  <si>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</si>
  <si>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</si>
  <si>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</si>
  <si>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</si>
  <si>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</si>
  <si>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</si>
  <si>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</si>
  <si>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</si>
  <si>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</si>
  <si>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</si>
  <si>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</si>
  <si>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</si>
  <si>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</si>
  <si>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</si>
  <si>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</si>
  <si>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</si>
  <si>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</si>
  <si>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</si>
  <si>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</si>
  <si>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</si>
  <si>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</si>
  <si>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</si>
  <si>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</si>
  <si>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</si>
  <si>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</si>
  <si>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</si>
  <si>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</si>
  <si>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</si>
  <si>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</si>
  <si>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</si>
  <si>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</si>
  <si>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</si>
  <si>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</si>
  <si>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</si>
  <si>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</si>
  <si>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</si>
  <si>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</si>
  <si>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</si>
  <si>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</si>
  <si>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</si>
  <si>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</si>
  <si>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</si>
  <si>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</si>
  <si>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</si>
  <si>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</si>
  <si>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</si>
  <si>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</si>
  <si>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</si>
  <si>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</si>
  <si>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</si>
  <si>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</si>
  <si>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</si>
  <si>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</si>
  <si>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</si>
  <si>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</si>
  <si>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</si>
  <si>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</si>
  <si>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</si>
  <si>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</si>
  <si>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</si>
  <si>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</si>
  <si>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</si>
  <si>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</si>
  <si>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</si>
  <si>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</si>
  <si>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</si>
  <si>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</si>
  <si>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</si>
  <si>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</si>
  <si>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</si>
  <si>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</si>
  <si>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</si>
  <si>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</si>
  <si>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</si>
  <si>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</si>
  <si>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</si>
  <si>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</si>
  <si>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</si>
  <si>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</si>
  <si>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</si>
  <si>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</si>
  <si>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</si>
  <si>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</si>
  <si>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</si>
  <si>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</si>
  <si>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</si>
  <si>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</si>
  <si>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</si>
  <si>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</si>
  <si>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</si>
  <si>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</si>
  <si>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</si>
  <si>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</si>
  <si>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</si>
  <si>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</si>
  <si>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</si>
  <si>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</si>
  <si>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</si>
  <si>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</si>
  <si>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</si>
  <si>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</si>
  <si>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</si>
  <si>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</si>
  <si>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</si>
  <si>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</si>
  <si>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</si>
  <si>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</si>
  <si>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</si>
  <si>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</si>
  <si>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</si>
  <si>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</si>
  <si>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</si>
  <si>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</si>
  <si>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</si>
  <si>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</si>
  <si>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</si>
  <si>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</si>
  <si>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</si>
  <si>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</si>
  <si>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</si>
  <si>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</si>
  <si>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</si>
  <si>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</si>
  <si>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</si>
  <si>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</si>
  <si>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</si>
  <si>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</si>
  <si>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</si>
  <si>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</si>
  <si>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</si>
  <si>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</si>
  <si>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</si>
  <si>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</si>
  <si>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</si>
  <si>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</si>
  <si>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</si>
  <si>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</si>
  <si>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</si>
  <si>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</si>
  <si>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</si>
  <si>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</si>
  <si>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</si>
  <si>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</si>
  <si>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</si>
  <si>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</si>
  <si>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</si>
  <si>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</si>
  <si>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</si>
  <si>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</si>
  <si>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</si>
  <si>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</si>
  <si>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</si>
  <si>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</si>
  <si>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</si>
  <si>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</si>
  <si>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</si>
  <si>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</si>
  <si>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</si>
  <si>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</si>
  <si>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</si>
  <si>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</si>
  <si>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</si>
  <si>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</si>
  <si>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</si>
  <si>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</si>
  <si>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</si>
  <si>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</si>
  <si>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</si>
  <si>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</si>
  <si>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</si>
  <si>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</si>
  <si>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</si>
  <si>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</si>
  <si>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</si>
  <si>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</si>
  <si>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</si>
  <si>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</si>
  <si>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</si>
  <si>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</si>
  <si>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</si>
  <si>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</si>
  <si>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</si>
  <si>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</si>
  <si>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</si>
  <si>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</si>
  <si>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</si>
  <si>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</si>
  <si>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</si>
  <si>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</si>
  <si>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</si>
  <si>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</si>
  <si>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</si>
  <si>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</si>
  <si>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</si>
  <si>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</si>
  <si>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</si>
  <si>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</si>
  <si>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</si>
  <si>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</si>
  <si>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</si>
  <si>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</si>
  <si>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</si>
  <si>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</si>
  <si>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</si>
  <si>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</si>
  <si>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</si>
  <si>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</si>
  <si>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</si>
  <si>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</si>
  <si>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</si>
  <si>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</si>
  <si>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</si>
  <si>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</si>
  <si>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</si>
  <si>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</si>
  <si>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</si>
  <si>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</si>
  <si>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</si>
  <si>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</si>
  <si>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</si>
  <si>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</si>
  <si>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</si>
  <si>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</si>
  <si>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</si>
  <si>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</si>
  <si>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</si>
  <si>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</si>
  <si>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</si>
  <si>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</si>
  <si>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</si>
  <si>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</si>
  <si>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</si>
  <si>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</si>
  <si>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</si>
  <si>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</si>
  <si>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</si>
  <si>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</si>
  <si>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</si>
  <si>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</si>
  <si>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</si>
  <si>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</si>
  <si>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</si>
  <si>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</si>
  <si>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</si>
  <si>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</si>
  <si>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</si>
  <si>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</si>
  <si>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</si>
  <si>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</si>
  <si>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</si>
  <si>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</si>
  <si>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</si>
  <si>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</si>
  <si>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</si>
  <si>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</si>
  <si>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</si>
  <si>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</si>
  <si>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</si>
  <si>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</si>
  <si>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</si>
  <si>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</si>
  <si>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</si>
  <si>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</si>
  <si>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</si>
  <si>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</si>
  <si>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</si>
  <si>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</si>
  <si>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</si>
  <si>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</si>
  <si>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</si>
  <si>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</si>
  <si>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</si>
  <si>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</si>
  <si>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</si>
  <si>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</si>
  <si>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</si>
  <si>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</si>
  <si>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</si>
  <si>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</si>
  <si>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</si>
  <si>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</si>
  <si>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</si>
  <si>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</si>
  <si>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</si>
  <si>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</si>
  <si>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</si>
  <si>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</si>
  <si>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</si>
  <si>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</si>
  <si>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</si>
  <si>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</si>
  <si>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</si>
  <si>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</si>
  <si>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</si>
  <si>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</si>
  <si>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</si>
  <si>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</si>
  <si>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</si>
  <si>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</si>
  <si>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</si>
  <si>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</si>
  <si>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</si>
  <si>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</si>
  <si>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</si>
  <si>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</si>
  <si>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</si>
  <si>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</si>
  <si>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</si>
  <si>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</si>
  <si>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</si>
  <si>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</si>
  <si>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</si>
  <si>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</si>
  <si>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</si>
  <si>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</si>
  <si>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</si>
  <si>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</si>
  <si>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</si>
  <si>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</si>
  <si>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</si>
  <si>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</si>
  <si>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</si>
  <si>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</si>
  <si>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</si>
  <si>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</si>
  <si>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</si>
  <si>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</si>
  <si>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</si>
  <si>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</si>
  <si>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</si>
  <si>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</si>
  <si>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</si>
  <si>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</si>
  <si>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</si>
  <si>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</si>
  <si>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</si>
  <si>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</si>
  <si>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</si>
  <si>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</si>
  <si>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</si>
  <si>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</si>
  <si>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</si>
  <si>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</si>
  <si>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</si>
  <si>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</si>
  <si>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</si>
  <si>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</si>
  <si>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</si>
  <si>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</si>
  <si>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</si>
  <si>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</si>
  <si>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</si>
  <si>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</si>
  <si>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</si>
  <si>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</si>
  <si>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</si>
  <si>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</si>
  <si>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</si>
  <si>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</si>
  <si>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</si>
  <si>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</si>
  <si>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</si>
  <si>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</si>
  <si>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</si>
  <si>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</si>
  <si>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</si>
  <si>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</si>
  <si>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</si>
  <si>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</si>
  <si>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</si>
  <si>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</si>
  <si>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</si>
  <si>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</si>
  <si>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</si>
  <si>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</si>
  <si>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</si>
  <si>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</si>
  <si>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</si>
  <si>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</si>
  <si>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</si>
  <si>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</si>
  <si>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</si>
  <si>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</si>
  <si>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</si>
  <si>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</si>
  <si>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</si>
  <si>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</si>
  <si>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</si>
  <si>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</si>
  <si>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</si>
  <si>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</si>
  <si>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</si>
  <si>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</si>
  <si>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</si>
  <si>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</si>
  <si>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</si>
  <si>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</si>
  <si>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</si>
  <si>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</si>
  <si>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</si>
  <si>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</si>
  <si>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</si>
  <si>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</si>
  <si>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</si>
  <si>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</si>
  <si>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</si>
  <si>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</si>
  <si>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</si>
  <si>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</si>
  <si>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</si>
  <si>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</si>
  <si>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</si>
  <si>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</si>
  <si>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</si>
  <si>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</si>
  <si>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</si>
  <si>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</si>
  <si>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</si>
  <si>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</si>
  <si>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</si>
  <si>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</si>
  <si>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</si>
  <si>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</si>
  <si>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</si>
  <si>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</si>
  <si>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</si>
  <si>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</si>
  <si>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</si>
  <si>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</si>
  <si>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</si>
  <si>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</si>
  <si>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</si>
  <si>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</si>
  <si>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</si>
  <si>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</si>
  <si>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</si>
  <si>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</si>
  <si>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</si>
  <si>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</si>
  <si>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</si>
  <si>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</si>
  <si>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</si>
  <si>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</si>
  <si>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</si>
  <si>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</si>
  <si>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</si>
  <si>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</si>
  <si>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</si>
  <si>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</si>
  <si>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</si>
  <si>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</si>
  <si>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</si>
  <si>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</si>
  <si>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</si>
  <si>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</si>
  <si>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</si>
  <si>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</si>
  <si>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</si>
  <si>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</si>
  <si>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</si>
  <si>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</si>
  <si>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</si>
  <si>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</si>
  <si>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</si>
  <si>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</si>
  <si>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</si>
  <si>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</si>
  <si>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</si>
  <si>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</si>
  <si>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</si>
  <si>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</si>
  <si>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</si>
  <si>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</si>
  <si>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</si>
  <si>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</si>
  <si>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</si>
  <si>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</si>
  <si>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</si>
  <si>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</si>
  <si>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</si>
  <si>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</si>
  <si>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</si>
  <si>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</si>
  <si>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</si>
  <si>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</si>
  <si>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</si>
  <si>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</si>
  <si>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</si>
  <si>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</si>
  <si>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</si>
  <si>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</si>
  <si>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</si>
  <si>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</si>
  <si>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</si>
  <si>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</si>
  <si>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</si>
  <si>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</si>
  <si>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</si>
  <si>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</si>
  <si>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</si>
  <si>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</si>
  <si>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</si>
  <si>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</si>
  <si>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</si>
  <si>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</si>
  <si>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</si>
  <si>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</si>
  <si>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</si>
  <si>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</si>
  <si>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</si>
  <si>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</si>
  <si>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</si>
  <si>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</si>
  <si>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</si>
  <si>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</si>
  <si>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</si>
  <si>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</si>
  <si>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</si>
  <si>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</si>
  <si>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</si>
  <si>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</si>
  <si>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</si>
  <si>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</si>
  <si>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</si>
  <si>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</si>
  <si>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</si>
  <si>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</si>
  <si>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</si>
  <si>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</si>
  <si>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</si>
  <si>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</si>
  <si>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</si>
  <si>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</si>
  <si>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</si>
  <si>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</si>
  <si>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</si>
  <si>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</si>
  <si>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</si>
  <si>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</si>
  <si>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</si>
  <si>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</si>
  <si>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</si>
  <si>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</si>
  <si>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</si>
  <si>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</si>
  <si>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</si>
  <si>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</si>
  <si>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</si>
  <si>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</si>
  <si>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</si>
  <si>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</si>
  <si>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</si>
  <si>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</si>
  <si>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</si>
  <si>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</si>
  <si>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</si>
  <si>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</si>
  <si>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</si>
  <si>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</si>
  <si>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</si>
  <si>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</si>
  <si>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</si>
  <si>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</si>
  <si>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</si>
  <si>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</si>
  <si>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</si>
  <si>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</si>
  <si>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</si>
  <si>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</si>
  <si>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</si>
  <si>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</si>
  <si>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</si>
  <si>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</si>
  <si>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</si>
  <si>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</si>
  <si>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</si>
  <si>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</si>
  <si>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</si>
  <si>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</si>
  <si>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</si>
  <si>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</si>
  <si>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</si>
  <si>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</si>
  <si>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</si>
  <si>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</si>
  <si>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</si>
  <si>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</si>
  <si>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</si>
  <si>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</si>
  <si>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</si>
  <si>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</si>
  <si>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</si>
  <si>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</si>
  <si>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</si>
  <si>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</si>
  <si>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</si>
  <si>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</si>
  <si>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</si>
  <si>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</si>
  <si>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</si>
  <si>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</si>
  <si>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</si>
  <si>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</si>
  <si>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</si>
  <si>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</si>
  <si>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</si>
  <si>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</si>
  <si>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</si>
  <si>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</si>
  <si>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</si>
  <si>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</si>
  <si>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</si>
  <si>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</si>
  <si>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</si>
  <si>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</si>
  <si>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</si>
  <si>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</si>
  <si>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</si>
  <si>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</si>
  <si>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</si>
  <si>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</si>
  <si>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</si>
  <si>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</si>
  <si>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</si>
  <si>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</si>
  <si>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</si>
  <si>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</si>
  <si>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</si>
  <si>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</si>
  <si>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</si>
  <si>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</si>
  <si>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</si>
  <si>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</si>
  <si>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</si>
  <si>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</si>
  <si>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</si>
  <si>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</si>
  <si>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</si>
  <si>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</si>
  <si>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</si>
  <si>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</si>
  <si>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</si>
  <si>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</si>
  <si>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</si>
  <si>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</si>
  <si>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</si>
  <si>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</si>
  <si>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</si>
  <si>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</si>
  <si>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</si>
  <si>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</si>
  <si>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</si>
  <si>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</si>
  <si>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</si>
  <si>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</si>
  <si>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</si>
  <si>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</si>
  <si>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</si>
  <si>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</si>
  <si>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</si>
  <si>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</si>
  <si>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</si>
  <si>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</si>
  <si>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</si>
  <si>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</si>
  <si>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</si>
  <si>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</si>
  <si>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</si>
  <si>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</si>
  <si>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</si>
  <si>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</si>
  <si>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</si>
  <si>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</si>
  <si>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</si>
  <si>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</si>
  <si>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</si>
  <si>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</si>
  <si>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</si>
  <si>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</si>
  <si>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</si>
  <si>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</si>
  <si>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</si>
  <si>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</si>
  <si>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</si>
  <si>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</si>
  <si>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</si>
  <si>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</si>
  <si>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</si>
  <si>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</si>
  <si>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</si>
  <si>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</si>
  <si>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</si>
  <si>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</si>
  <si>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</si>
  <si>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</si>
  <si>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</si>
  <si>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</si>
  <si>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</si>
  <si>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</si>
  <si>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</si>
  <si>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</si>
  <si>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</si>
  <si>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</si>
  <si>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</si>
  <si>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</si>
  <si>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</si>
  <si>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</si>
  <si>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</si>
  <si>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</si>
  <si>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</si>
  <si>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</si>
  <si>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</si>
  <si>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</si>
  <si>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</si>
  <si>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</si>
  <si>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</si>
  <si>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</si>
  <si>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</si>
  <si>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</si>
  <si>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</si>
  <si>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</si>
  <si>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</si>
  <si>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</si>
  <si>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</si>
  <si>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</si>
  <si>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</si>
  <si>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</si>
  <si>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</si>
  <si>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</si>
  <si>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</si>
  <si>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</si>
  <si>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</si>
  <si>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</si>
  <si>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</si>
  <si>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</si>
  <si>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</si>
  <si>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</si>
  <si>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</si>
  <si>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</si>
  <si>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</si>
  <si>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</si>
  <si>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</si>
  <si>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</si>
  <si>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</si>
  <si>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</si>
  <si>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</si>
  <si>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</si>
  <si>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</si>
  <si>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</si>
  <si>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</si>
  <si>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</si>
  <si>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</si>
  <si>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</si>
  <si>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</si>
  <si>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</si>
  <si>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</si>
  <si>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</si>
  <si>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</si>
  <si>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</si>
  <si>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</si>
  <si>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</si>
  <si>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</si>
  <si>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</si>
  <si>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</si>
  <si>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</si>
  <si>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</si>
  <si>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</si>
  <si>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</si>
  <si>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</si>
  <si>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</si>
  <si>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</si>
  <si>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</si>
  <si>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</si>
  <si>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</si>
  <si>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</si>
  <si>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</si>
  <si>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</si>
  <si>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</si>
  <si>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</si>
  <si>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</si>
  <si>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</si>
  <si>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</si>
  <si>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</si>
  <si>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</si>
  <si>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</si>
  <si>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</si>
  <si>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</si>
  <si>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</si>
  <si>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</si>
  <si>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</si>
  <si>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</si>
  <si>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</si>
  <si>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</si>
  <si>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</si>
  <si>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</si>
  <si>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</si>
  <si>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</si>
  <si>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</si>
  <si>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</si>
  <si>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</si>
  <si>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</si>
  <si>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</si>
  <si>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</si>
  <si>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</si>
  <si>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</si>
  <si>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</si>
  <si>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</si>
  <si>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</si>
  <si>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</si>
  <si>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</si>
  <si>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</si>
  <si>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</si>
  <si>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</si>
  <si>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</si>
  <si>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</si>
  <si>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</si>
  <si>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</si>
  <si>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</si>
  <si>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</si>
  <si>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</si>
  <si>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</si>
  <si>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</si>
  <si>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</si>
  <si>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</si>
  <si>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</si>
  <si>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</si>
  <si>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</si>
  <si>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</si>
  <si>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</si>
  <si>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</si>
  <si>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</si>
  <si>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</si>
  <si>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</si>
  <si>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</si>
  <si>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</si>
  <si>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</si>
  <si>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</si>
  <si>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</si>
  <si>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</si>
  <si>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</si>
  <si>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</si>
  <si>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</si>
  <si>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</si>
  <si>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</si>
  <si>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</si>
  <si>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</si>
  <si>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</si>
  <si>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</si>
  <si>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</si>
  <si>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</si>
  <si>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</si>
  <si>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</si>
  <si>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</si>
  <si>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</si>
  <si>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</si>
  <si>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</si>
  <si>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</si>
  <si>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</si>
  <si>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</si>
  <si>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</si>
  <si>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</si>
  <si>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</si>
  <si>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</si>
  <si>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</si>
  <si>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</si>
  <si>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</si>
  <si>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</si>
  <si>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</si>
  <si>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</si>
  <si>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</si>
  <si>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</si>
  <si>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</si>
  <si>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</si>
  <si>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</si>
  <si>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</si>
  <si>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</si>
  <si>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</si>
  <si>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</si>
  <si>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</si>
  <si>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</si>
  <si>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</si>
  <si>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</si>
  <si>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</si>
  <si>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</si>
  <si>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</si>
  <si>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</si>
  <si>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</si>
  <si>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</si>
  <si>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</si>
  <si>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</si>
  <si>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</si>
  <si>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</si>
  <si>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</si>
  <si>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</si>
  <si>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</si>
  <si>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</si>
  <si>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</si>
  <si>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</si>
  <si>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</si>
  <si>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</si>
  <si>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</si>
  <si>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</si>
  <si>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</si>
  <si>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</si>
  <si>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</si>
  <si>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</si>
  <si>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</si>
  <si>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</si>
  <si>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</si>
  <si>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</si>
  <si>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</si>
  <si>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</si>
  <si>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</si>
  <si>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</si>
  <si>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</si>
  <si>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</si>
  <si>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</si>
  <si>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</si>
  <si>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</si>
  <si>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</si>
  <si>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</si>
  <si>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</si>
  <si>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</si>
  <si>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</si>
  <si>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</si>
  <si>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</si>
  <si>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</si>
  <si>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</si>
  <si>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</si>
  <si>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</si>
  <si>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</si>
  <si>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</si>
  <si>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</si>
  <si>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</si>
  <si>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</si>
  <si>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</si>
  <si>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</si>
  <si>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</si>
  <si>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</si>
  <si>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</si>
  <si>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</si>
  <si>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</si>
  <si>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</si>
  <si>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</si>
  <si>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</si>
  <si>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</si>
  <si>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</si>
  <si>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</si>
  <si>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</si>
  <si>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</si>
  <si>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</si>
  <si>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</si>
  <si>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</si>
  <si>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</si>
  <si>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</si>
  <si>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USD 20.00</t>
  </si>
  <si>
    <t>MIN</t>
  </si>
  <si>
    <t>MAX</t>
  </si>
  <si>
    <t>IF(RATING)</t>
  </si>
  <si>
    <t>COUNT(PROJECTS)</t>
  </si>
  <si>
    <t>COUNTIF(Germany)</t>
  </si>
  <si>
    <t>COUNTIF(English)</t>
  </si>
  <si>
    <t>SUMIF(Germany Projects)</t>
  </si>
  <si>
    <t>AVGIF(Germany Projects)</t>
  </si>
  <si>
    <t>Summary</t>
  </si>
  <si>
    <t>1.Germany Freelancer  total 52
2.Total Projects=433
3.average projects=8.32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</si>
</sst>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;[Red][$USD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33" borderId="0" xfId="0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  <alignment horizontal="general" vertical="bottom" textRotation="0" wrapText="1" indent="0" justifyLastLine="0" shrinkToFit="0" readingOrder="0"/>
    </dxf>
    <dxf>
      <numFmt numFmtId="164" formatCode="[$USD]\ #,##0.00;[Red][$USD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01" totalsRowShown="0">
  <autoFilter ref="A1:Q1001" xr:uid="{00000000-0009-0000-0100-000001000000}">
    <filterColumn colId="8">
      <filters>
        <filter val="100"/>
        <filter val="20"/>
        <filter val="30"/>
        <filter val="40"/>
        <filter val="50"/>
        <filter val="75"/>
      </filters>
    </filterColumn>
  </autoFilter>
  <tableColumns count="17">
    <tableColumn id="1" xr3:uid="{00000000-0010-0000-0000-000001000000}" name="Freelancer_ID"/>
    <tableColumn id="2" xr3:uid="{00000000-0010-0000-0000-000002000000}" name="Name"/>
    <tableColumn id="3" xr3:uid="{00000000-0010-0000-0000-000003000000}" name="Gender"/>
    <tableColumn id="4" xr3:uid="{00000000-0010-0000-0000-000004000000}" name="Age"/>
    <tableColumn id="5" xr3:uid="{00000000-0010-0000-0000-000005000000}" name="Country"/>
    <tableColumn id="6" xr3:uid="{00000000-0010-0000-0000-000006000000}" name="Language"/>
    <tableColumn id="7" xr3:uid="{00000000-0010-0000-0000-000007000000}" name="Primary_Skill"/>
    <tableColumn id="8" xr3:uid="{00000000-0010-0000-0000-000008000000}" name="Years_Of_Experience"/>
    <tableColumn id="9" xr3:uid="{00000000-0010-0000-0000-000009000000}" name="Hourly_Rate (USD)" dataDxfId="1"/>
    <tableColumn id="10" xr3:uid="{00000000-0010-0000-0000-00000A000000}" name="Rating"/>
    <tableColumn id="11" xr3:uid="{00000000-0010-0000-0000-00000B000000}" name="Is_Active"/>
    <tableColumn id="12" xr3:uid="{00000000-0010-0000-0000-00000C000000}" name="Client_Satisfaction"/>
    <tableColumn id="13" xr3:uid="{00000000-0010-0000-0000-00000D000000}" name="Notes"/>
    <tableColumn id="14" xr3:uid="{00000000-0010-0000-0000-00000E000000}" name="Status"/>
    <tableColumn id="15" xr3:uid="{00000000-0010-0000-0000-00000F000000}" name="No Of Projects "/>
    <tableColumn id="16" xr3:uid="{00000000-0010-0000-0000-000010000000}" name="Duration_Months"/>
    <tableColumn id="19" xr3:uid="{1B194548-F642-4884-B9B7-654D918902A9}" name="IF(RATING)" dataDxfId="0">
      <calculatedColumnFormula>IF(J2&lt;3.5,"Average","GOOD")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A997" workbookViewId="0">
      <selection activeCell="C1009" sqref="C1009"/>
    </sheetView>
  </sheetViews>
  <sheetFormatPr defaultRowHeight="15" x14ac:dyDescent="0.25"/>
  <cols>
    <col min="1" max="1" width="15.42578125" style="3" customWidth="1"/>
    <col min="2" max="2" width="24.5703125" style="3" bestFit="1" customWidth="1"/>
    <col min="3" max="3" width="9.85546875" style="3" customWidth="1"/>
    <col min="4" max="4" width="9.5703125" style="3" customWidth="1"/>
    <col min="5" max="5" width="17.140625" style="6" customWidth="1"/>
    <col min="6" max="6" width="14.85546875" style="6" customWidth="1"/>
    <col min="7" max="7" width="23.42578125" style="3" bestFit="1" customWidth="1"/>
    <col min="8" max="8" width="22" style="3" customWidth="1"/>
    <col min="9" max="9" width="19.5703125" style="4" customWidth="1"/>
    <col min="10" max="10" width="8.7109375" style="3" customWidth="1"/>
    <col min="11" max="11" width="11.140625" style="3" customWidth="1"/>
    <col min="12" max="12" width="19.7109375" style="3" customWidth="1"/>
    <col min="13" max="13" width="10" style="3" bestFit="1" customWidth="1"/>
    <col min="14" max="14" width="10.85546875" style="3" bestFit="1" customWidth="1"/>
    <col min="15" max="15" width="16.28515625" style="3" customWidth="1"/>
    <col min="16" max="16" width="18.7109375" style="3" customWidth="1"/>
    <col min="17" max="17" width="17.5703125" style="3" customWidth="1"/>
    <col min="18" max="19" width="9.140625" style="2"/>
    <col min="20" max="20" width="33.85546875" style="2" customWidth="1"/>
    <col min="21" max="26" width="9.140625" style="2"/>
    <col min="27" max="27" width="11.5703125" style="2" bestFit="1" customWidth="1"/>
    <col min="28" max="16384" width="9.140625" style="2"/>
  </cols>
  <sheetData>
    <row r="1" spans="1:27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2091</v>
      </c>
      <c r="S1" s="2" t="s">
        <v>2092</v>
      </c>
      <c r="U1" s="2" t="s">
        <v>2093</v>
      </c>
      <c r="W1" s="2" t="s">
        <v>2094</v>
      </c>
      <c r="Y1" s="2" t="s">
        <v>2095</v>
      </c>
      <c r="AA1" s="2" t="s">
        <v>2096</v>
      </c>
    </row>
    <row r="2" spans="1:27" x14ac:dyDescent="0.25">
      <c r="A2" s="3" t="s">
        <v>16</v>
      </c>
      <c r="B2" s="3" t="s">
        <v>17</v>
      </c>
      <c r="C2" s="3" t="s">
        <v>18</v>
      </c>
      <c r="D2" s="3">
        <v>52</v>
      </c>
      <c r="E2" s="3" t="s">
        <v>19</v>
      </c>
      <c r="F2" s="3" t="s">
        <v>20</v>
      </c>
      <c r="G2" s="3" t="s">
        <v>21</v>
      </c>
      <c r="H2" s="3">
        <v>11</v>
      </c>
      <c r="I2" s="4">
        <v>100</v>
      </c>
      <c r="K2" s="3">
        <v>0</v>
      </c>
      <c r="M2" s="3" t="s">
        <v>22</v>
      </c>
      <c r="N2" s="3" t="s">
        <v>23</v>
      </c>
      <c r="O2" s="3">
        <v>13</v>
      </c>
      <c r="P2" s="3">
        <v>6</v>
      </c>
      <c r="Q2" s="3" t="str">
        <f t="shared" ref="Q2:Q65" si="0">IF(J2&lt;3.5,"Average","GOOD")</f>
        <v>Average</v>
      </c>
      <c r="S2" s="2">
        <f>COUNT(O2:O1001)</f>
        <v>1000</v>
      </c>
      <c r="U2" s="2">
        <f>COUNTIF(E2:E1001,"Germany")</f>
        <v>52</v>
      </c>
      <c r="W2" s="2">
        <f>COUNTIF(F2:F1001,"English")</f>
        <v>215</v>
      </c>
      <c r="Y2" s="2">
        <f>SUMIF(E2:E1001,"Germany",O2:O1001)</f>
        <v>433</v>
      </c>
      <c r="AA2" s="2">
        <f>AVERAGEIF(E2:E1001,"Germany",O2:O1001)</f>
        <v>8.3269230769230766</v>
      </c>
    </row>
    <row r="3" spans="1:27" customFormat="1" hidden="1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s="1" t="s">
        <v>30</v>
      </c>
      <c r="J3">
        <v>3.3</v>
      </c>
      <c r="K3">
        <v>1</v>
      </c>
      <c r="L3">
        <v>0.84</v>
      </c>
      <c r="M3" t="s">
        <v>22</v>
      </c>
      <c r="N3" t="s">
        <v>31</v>
      </c>
      <c r="O3">
        <v>10</v>
      </c>
      <c r="P3">
        <v>7</v>
      </c>
      <c r="Q3" t="str">
        <f t="shared" si="0"/>
        <v>Average</v>
      </c>
    </row>
    <row r="4" spans="1:27" x14ac:dyDescent="0.25">
      <c r="A4" s="3" t="s">
        <v>32</v>
      </c>
      <c r="B4" s="3" t="s">
        <v>33</v>
      </c>
      <c r="C4" s="3" t="s">
        <v>34</v>
      </c>
      <c r="D4" s="3">
        <v>53</v>
      </c>
      <c r="E4" s="3" t="s">
        <v>35</v>
      </c>
      <c r="F4" s="3" t="s">
        <v>35</v>
      </c>
      <c r="G4" s="3" t="s">
        <v>36</v>
      </c>
      <c r="H4" s="3">
        <v>31</v>
      </c>
      <c r="I4" s="4">
        <v>50</v>
      </c>
      <c r="J4" s="3">
        <v>0</v>
      </c>
      <c r="K4" s="3" t="s">
        <v>37</v>
      </c>
      <c r="L4" s="3">
        <v>0.71</v>
      </c>
      <c r="M4" s="3" t="s">
        <v>22</v>
      </c>
      <c r="N4" s="3" t="s">
        <v>38</v>
      </c>
      <c r="O4" s="3">
        <v>16</v>
      </c>
      <c r="P4" s="3">
        <v>16</v>
      </c>
      <c r="Q4" s="3" t="str">
        <f t="shared" si="0"/>
        <v>Average</v>
      </c>
    </row>
    <row r="5" spans="1:27" customFormat="1" hidden="1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1" t="s">
        <v>43</v>
      </c>
      <c r="J5">
        <v>1.5</v>
      </c>
      <c r="K5" t="s">
        <v>37</v>
      </c>
      <c r="L5">
        <v>0.9</v>
      </c>
      <c r="M5" t="s">
        <v>22</v>
      </c>
      <c r="N5" t="s">
        <v>31</v>
      </c>
      <c r="O5">
        <v>5</v>
      </c>
      <c r="P5">
        <v>1</v>
      </c>
      <c r="Q5" t="str">
        <f t="shared" si="0"/>
        <v>Average</v>
      </c>
    </row>
    <row r="6" spans="1:27" x14ac:dyDescent="0.25">
      <c r="A6" s="3" t="s">
        <v>44</v>
      </c>
      <c r="B6" s="3" t="s">
        <v>45</v>
      </c>
      <c r="C6" s="3" t="s">
        <v>46</v>
      </c>
      <c r="D6" s="3">
        <v>53</v>
      </c>
      <c r="E6" s="3" t="s">
        <v>35</v>
      </c>
      <c r="F6" s="3" t="s">
        <v>35</v>
      </c>
      <c r="H6" s="3">
        <v>27</v>
      </c>
      <c r="I6" s="4">
        <v>30</v>
      </c>
      <c r="J6" s="3">
        <v>4.8</v>
      </c>
      <c r="K6" s="3">
        <v>0</v>
      </c>
      <c r="L6" s="3">
        <v>0.83</v>
      </c>
      <c r="M6" s="3" t="s">
        <v>22</v>
      </c>
      <c r="N6" s="3" t="s">
        <v>23</v>
      </c>
      <c r="O6" s="3">
        <v>13</v>
      </c>
      <c r="P6" s="3">
        <v>3</v>
      </c>
      <c r="Q6" s="3" t="str">
        <f t="shared" si="0"/>
        <v>GOOD</v>
      </c>
    </row>
    <row r="7" spans="1:27" customFormat="1" hidden="1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s="1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  <c r="Q7" t="str">
        <f t="shared" si="0"/>
        <v>Average</v>
      </c>
    </row>
    <row r="8" spans="1:27" customFormat="1" hidden="1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s="1" t="s">
        <v>60</v>
      </c>
      <c r="J8">
        <v>3.1</v>
      </c>
      <c r="K8">
        <v>0</v>
      </c>
      <c r="L8">
        <v>0.94</v>
      </c>
      <c r="M8" t="s">
        <v>22</v>
      </c>
      <c r="N8" t="s">
        <v>23</v>
      </c>
      <c r="O8">
        <v>10</v>
      </c>
      <c r="P8">
        <v>3</v>
      </c>
      <c r="Q8" t="str">
        <f t="shared" si="0"/>
        <v>Average</v>
      </c>
    </row>
    <row r="9" spans="1:27" customFormat="1" hidden="1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s="1" t="s">
        <v>63</v>
      </c>
      <c r="J9">
        <v>4.5999999999999996</v>
      </c>
      <c r="K9" t="b">
        <v>0</v>
      </c>
      <c r="L9">
        <v>0.94</v>
      </c>
      <c r="M9" t="s">
        <v>53</v>
      </c>
      <c r="N9" t="s">
        <v>23</v>
      </c>
      <c r="O9">
        <v>7</v>
      </c>
      <c r="P9">
        <v>10</v>
      </c>
      <c r="Q9" t="str">
        <f t="shared" si="0"/>
        <v>GOOD</v>
      </c>
    </row>
    <row r="10" spans="1:27" customFormat="1" hidden="1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I10" s="1"/>
      <c r="J10">
        <v>4</v>
      </c>
      <c r="K10" t="b">
        <v>1</v>
      </c>
      <c r="L10">
        <v>0.76</v>
      </c>
      <c r="M10" t="s">
        <v>22</v>
      </c>
      <c r="N10" t="s">
        <v>67</v>
      </c>
      <c r="O10">
        <v>2</v>
      </c>
      <c r="P10">
        <v>4</v>
      </c>
      <c r="Q10" t="str">
        <f t="shared" si="0"/>
        <v>GOOD</v>
      </c>
    </row>
    <row r="11" spans="1:27" customFormat="1" hidden="1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s="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  <c r="Q11" t="str">
        <f t="shared" si="0"/>
        <v>Average</v>
      </c>
    </row>
    <row r="12" spans="1:27" x14ac:dyDescent="0.25">
      <c r="A12" s="3" t="s">
        <v>75</v>
      </c>
      <c r="B12" s="3" t="s">
        <v>76</v>
      </c>
      <c r="C12" s="3" t="s">
        <v>56</v>
      </c>
      <c r="D12" s="3">
        <v>40</v>
      </c>
      <c r="E12" s="3" t="s">
        <v>77</v>
      </c>
      <c r="F12" s="3" t="s">
        <v>28</v>
      </c>
      <c r="G12" s="3" t="s">
        <v>59</v>
      </c>
      <c r="H12" s="3">
        <v>17</v>
      </c>
      <c r="I12" s="4">
        <v>40</v>
      </c>
      <c r="J12" s="3">
        <v>3.6</v>
      </c>
      <c r="K12" s="3" t="s">
        <v>78</v>
      </c>
      <c r="L12" s="3">
        <v>0.77</v>
      </c>
      <c r="M12" s="3" t="s">
        <v>79</v>
      </c>
      <c r="N12" s="3" t="s">
        <v>67</v>
      </c>
      <c r="O12" s="3">
        <v>20</v>
      </c>
      <c r="P12" s="3">
        <v>5</v>
      </c>
      <c r="Q12" s="3" t="str">
        <f t="shared" si="0"/>
        <v>GOOD</v>
      </c>
    </row>
    <row r="13" spans="1:27" customFormat="1" hidden="1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I13" s="1"/>
      <c r="K13" t="s">
        <v>85</v>
      </c>
      <c r="L13">
        <v>0.86</v>
      </c>
      <c r="M13" t="s">
        <v>53</v>
      </c>
      <c r="N13" t="s">
        <v>38</v>
      </c>
      <c r="O13">
        <v>13</v>
      </c>
      <c r="P13">
        <v>4</v>
      </c>
      <c r="Q13" t="str">
        <f t="shared" si="0"/>
        <v>Average</v>
      </c>
    </row>
    <row r="14" spans="1:27" customFormat="1" hidden="1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I14" s="1"/>
      <c r="J14">
        <v>2</v>
      </c>
      <c r="K14">
        <v>0</v>
      </c>
      <c r="L14">
        <v>0.86</v>
      </c>
      <c r="M14" t="s">
        <v>22</v>
      </c>
      <c r="N14" t="s">
        <v>23</v>
      </c>
      <c r="O14">
        <v>16</v>
      </c>
      <c r="P14">
        <v>15</v>
      </c>
      <c r="Q14" t="str">
        <f t="shared" si="0"/>
        <v>Average</v>
      </c>
    </row>
    <row r="15" spans="1:27" customFormat="1" hidden="1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s="1" t="s">
        <v>60</v>
      </c>
      <c r="J15">
        <v>2.9</v>
      </c>
      <c r="K15">
        <v>1</v>
      </c>
      <c r="L15">
        <v>0.93</v>
      </c>
      <c r="M15" t="s">
        <v>74</v>
      </c>
      <c r="N15" t="s">
        <v>23</v>
      </c>
      <c r="O15">
        <v>17</v>
      </c>
      <c r="P15">
        <v>12</v>
      </c>
      <c r="Q15" t="str">
        <f t="shared" si="0"/>
        <v>Average</v>
      </c>
    </row>
    <row r="16" spans="1:27" x14ac:dyDescent="0.25">
      <c r="A16" s="3" t="s">
        <v>92</v>
      </c>
      <c r="B16" s="3" t="s">
        <v>93</v>
      </c>
      <c r="C16" s="3" t="s">
        <v>70</v>
      </c>
      <c r="D16" s="3">
        <v>50</v>
      </c>
      <c r="E16" s="3" t="s">
        <v>35</v>
      </c>
      <c r="F16" s="3" t="s">
        <v>35</v>
      </c>
      <c r="G16" s="3" t="s">
        <v>59</v>
      </c>
      <c r="H16" s="3">
        <v>22</v>
      </c>
      <c r="I16" s="4">
        <v>75</v>
      </c>
      <c r="J16" s="3">
        <v>3.7</v>
      </c>
      <c r="K16" s="3">
        <v>1</v>
      </c>
      <c r="L16" s="3">
        <v>0.7</v>
      </c>
      <c r="M16" s="3" t="s">
        <v>79</v>
      </c>
      <c r="N16" s="3" t="s">
        <v>31</v>
      </c>
      <c r="O16" s="3">
        <v>14</v>
      </c>
      <c r="P16" s="3">
        <v>6</v>
      </c>
      <c r="Q16" s="3" t="str">
        <f t="shared" si="0"/>
        <v>GOOD</v>
      </c>
    </row>
    <row r="17" spans="1:20" customFormat="1" hidden="1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s="1" t="s">
        <v>52</v>
      </c>
      <c r="J17">
        <v>1.2</v>
      </c>
      <c r="K17">
        <v>0</v>
      </c>
      <c r="L17">
        <v>0.69</v>
      </c>
      <c r="M17" t="s">
        <v>53</v>
      </c>
      <c r="N17" t="s">
        <v>38</v>
      </c>
      <c r="O17">
        <v>5</v>
      </c>
      <c r="P17">
        <v>2</v>
      </c>
      <c r="Q17" t="str">
        <f t="shared" si="0"/>
        <v>Average</v>
      </c>
    </row>
    <row r="18" spans="1:20" customFormat="1" hidden="1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s="1" t="s">
        <v>52</v>
      </c>
      <c r="J18">
        <v>2.5</v>
      </c>
      <c r="K18" t="b">
        <v>0</v>
      </c>
      <c r="L18">
        <v>0.6</v>
      </c>
      <c r="M18" t="s">
        <v>79</v>
      </c>
      <c r="N18" t="s">
        <v>67</v>
      </c>
      <c r="O18">
        <v>7</v>
      </c>
      <c r="P18">
        <v>1</v>
      </c>
      <c r="Q18" t="str">
        <f t="shared" si="0"/>
        <v>Average</v>
      </c>
    </row>
    <row r="19" spans="1:20" customFormat="1" hidden="1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I19" s="1"/>
      <c r="L19">
        <v>0.87</v>
      </c>
      <c r="M19" t="s">
        <v>74</v>
      </c>
      <c r="N19" t="s">
        <v>31</v>
      </c>
      <c r="O19">
        <v>1</v>
      </c>
      <c r="P19">
        <v>2</v>
      </c>
      <c r="Q19" t="str">
        <f t="shared" si="0"/>
        <v>Average</v>
      </c>
    </row>
    <row r="20" spans="1:20" customFormat="1" hidden="1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s="1" t="s">
        <v>109</v>
      </c>
      <c r="J20">
        <v>1.1000000000000001</v>
      </c>
      <c r="K20" t="s">
        <v>37</v>
      </c>
      <c r="L20">
        <v>0.75</v>
      </c>
      <c r="M20" t="s">
        <v>53</v>
      </c>
      <c r="N20" t="s">
        <v>31</v>
      </c>
      <c r="O20">
        <v>13</v>
      </c>
      <c r="P20">
        <v>3</v>
      </c>
      <c r="Q20" t="str">
        <f t="shared" si="0"/>
        <v>Average</v>
      </c>
    </row>
    <row r="21" spans="1:20" customFormat="1" hidden="1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s="1" t="s">
        <v>30</v>
      </c>
      <c r="J21">
        <v>1.8</v>
      </c>
      <c r="K21" t="s">
        <v>78</v>
      </c>
      <c r="L21">
        <v>0.68</v>
      </c>
      <c r="M21" t="s">
        <v>79</v>
      </c>
      <c r="N21" t="s">
        <v>31</v>
      </c>
      <c r="O21">
        <v>1</v>
      </c>
      <c r="P21">
        <v>1</v>
      </c>
      <c r="Q21" t="str">
        <f t="shared" si="0"/>
        <v>Average</v>
      </c>
    </row>
    <row r="22" spans="1:20" ht="60" x14ac:dyDescent="0.25">
      <c r="A22" s="3" t="s">
        <v>112</v>
      </c>
      <c r="B22" s="3" t="s">
        <v>113</v>
      </c>
      <c r="C22" s="3" t="s">
        <v>108</v>
      </c>
      <c r="E22" s="3" t="s">
        <v>57</v>
      </c>
      <c r="F22" s="3" t="s">
        <v>58</v>
      </c>
      <c r="G22" s="3" t="s">
        <v>51</v>
      </c>
      <c r="H22" s="3">
        <v>9</v>
      </c>
      <c r="I22" s="4">
        <v>50</v>
      </c>
      <c r="J22" s="3">
        <v>1.8</v>
      </c>
      <c r="K22" s="3" t="b">
        <v>0</v>
      </c>
      <c r="L22" s="3">
        <v>0.65</v>
      </c>
      <c r="M22" s="3" t="s">
        <v>22</v>
      </c>
      <c r="N22" s="3" t="s">
        <v>67</v>
      </c>
      <c r="O22" s="3">
        <v>15</v>
      </c>
      <c r="P22" s="3">
        <v>6</v>
      </c>
      <c r="Q22" s="3" t="str">
        <f t="shared" si="0"/>
        <v>Average</v>
      </c>
      <c r="S22" s="7" t="s">
        <v>2097</v>
      </c>
      <c r="T22" s="7" t="s">
        <v>2098</v>
      </c>
    </row>
    <row r="23" spans="1:20" customFormat="1" hidden="1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I23" s="1"/>
      <c r="J23">
        <v>2.4</v>
      </c>
      <c r="K23" t="s">
        <v>37</v>
      </c>
      <c r="L23">
        <v>0.69</v>
      </c>
      <c r="M23" t="s">
        <v>53</v>
      </c>
      <c r="N23" t="s">
        <v>31</v>
      </c>
      <c r="O23">
        <v>3</v>
      </c>
      <c r="P23">
        <v>5</v>
      </c>
      <c r="Q23" t="str">
        <f t="shared" si="0"/>
        <v>Average</v>
      </c>
    </row>
    <row r="24" spans="1:20" customFormat="1" hidden="1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s="1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  <c r="Q24" t="str">
        <f t="shared" si="0"/>
        <v>GOOD</v>
      </c>
    </row>
    <row r="25" spans="1:20" customFormat="1" hidden="1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s="1" t="s">
        <v>73</v>
      </c>
      <c r="J25">
        <v>1.3</v>
      </c>
      <c r="K25">
        <v>1</v>
      </c>
      <c r="L25">
        <v>1</v>
      </c>
      <c r="M25" t="s">
        <v>74</v>
      </c>
      <c r="N25" t="s">
        <v>31</v>
      </c>
      <c r="O25">
        <v>9</v>
      </c>
      <c r="P25">
        <v>3</v>
      </c>
      <c r="Q25" t="str">
        <f t="shared" si="0"/>
        <v>Average</v>
      </c>
    </row>
    <row r="26" spans="1:20" x14ac:dyDescent="0.25">
      <c r="A26" s="3" t="s">
        <v>126</v>
      </c>
      <c r="B26" s="3" t="s">
        <v>127</v>
      </c>
      <c r="C26" s="3" t="s">
        <v>18</v>
      </c>
      <c r="D26" s="3">
        <v>54</v>
      </c>
      <c r="E26" s="3" t="s">
        <v>57</v>
      </c>
      <c r="F26" s="3" t="s">
        <v>58</v>
      </c>
      <c r="G26" s="3" t="s">
        <v>125</v>
      </c>
      <c r="H26" s="3">
        <v>13</v>
      </c>
      <c r="I26" s="4">
        <v>75</v>
      </c>
      <c r="J26" s="3">
        <v>2.9</v>
      </c>
      <c r="L26" s="3">
        <v>92</v>
      </c>
      <c r="M26" s="3" t="s">
        <v>74</v>
      </c>
      <c r="N26" s="3" t="s">
        <v>67</v>
      </c>
      <c r="O26" s="3">
        <v>15</v>
      </c>
      <c r="P26" s="3">
        <v>3</v>
      </c>
      <c r="Q26" s="3" t="str">
        <f t="shared" si="0"/>
        <v>Average</v>
      </c>
      <c r="T26" s="2">
        <v>3</v>
      </c>
    </row>
    <row r="27" spans="1:20" customFormat="1" hidden="1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s="1" t="s">
        <v>120</v>
      </c>
      <c r="J27">
        <v>1.2</v>
      </c>
      <c r="K27">
        <v>1</v>
      </c>
      <c r="L27">
        <v>0.7</v>
      </c>
      <c r="M27" t="s">
        <v>53</v>
      </c>
      <c r="N27" t="s">
        <v>23</v>
      </c>
      <c r="O27">
        <v>5</v>
      </c>
      <c r="P27">
        <v>2</v>
      </c>
      <c r="Q27" t="str">
        <f t="shared" si="0"/>
        <v>Average</v>
      </c>
    </row>
    <row r="28" spans="1:20" customFormat="1" hidden="1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s="1" t="s">
        <v>132</v>
      </c>
      <c r="J28">
        <v>0</v>
      </c>
      <c r="K28" t="b">
        <v>1</v>
      </c>
      <c r="L28">
        <v>0.89</v>
      </c>
      <c r="M28" t="s">
        <v>79</v>
      </c>
      <c r="N28" t="s">
        <v>23</v>
      </c>
      <c r="O28">
        <v>6</v>
      </c>
      <c r="P28">
        <v>1</v>
      </c>
      <c r="Q28" t="str">
        <f t="shared" si="0"/>
        <v>Average</v>
      </c>
    </row>
    <row r="29" spans="1:20" customFormat="1" hidden="1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I29" s="1"/>
      <c r="J29">
        <v>1.8</v>
      </c>
      <c r="K29" t="s">
        <v>85</v>
      </c>
      <c r="L29">
        <v>0.86</v>
      </c>
      <c r="M29" t="s">
        <v>53</v>
      </c>
      <c r="N29" t="s">
        <v>23</v>
      </c>
      <c r="O29">
        <v>12</v>
      </c>
      <c r="P29">
        <v>4</v>
      </c>
      <c r="Q29" t="str">
        <f t="shared" si="0"/>
        <v>Average</v>
      </c>
    </row>
    <row r="30" spans="1:20" x14ac:dyDescent="0.25">
      <c r="A30" s="3" t="s">
        <v>137</v>
      </c>
      <c r="B30" s="3" t="s">
        <v>138</v>
      </c>
      <c r="C30" s="3" t="s">
        <v>46</v>
      </c>
      <c r="D30" s="3">
        <v>47</v>
      </c>
      <c r="E30" s="3" t="s">
        <v>139</v>
      </c>
      <c r="F30" s="3" t="s">
        <v>28</v>
      </c>
      <c r="G30" s="3" t="s">
        <v>51</v>
      </c>
      <c r="H30" s="3">
        <v>22</v>
      </c>
      <c r="I30" s="4">
        <v>30</v>
      </c>
      <c r="J30" s="3">
        <v>1.3</v>
      </c>
      <c r="K30" s="3">
        <v>0</v>
      </c>
      <c r="L30" s="3">
        <v>0.62</v>
      </c>
      <c r="M30" s="3" t="s">
        <v>53</v>
      </c>
      <c r="N30" s="3" t="s">
        <v>23</v>
      </c>
      <c r="O30" s="3">
        <v>14</v>
      </c>
      <c r="P30" s="3">
        <v>2</v>
      </c>
      <c r="Q30" s="3" t="str">
        <f t="shared" si="0"/>
        <v>Average</v>
      </c>
    </row>
    <row r="31" spans="1:20" customFormat="1" hidden="1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s="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  <c r="Q31" t="str">
        <f t="shared" si="0"/>
        <v>Average</v>
      </c>
    </row>
    <row r="32" spans="1:20" customFormat="1" hidden="1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I32" s="1"/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  <c r="Q32" t="str">
        <f t="shared" si="0"/>
        <v>Average</v>
      </c>
    </row>
    <row r="33" spans="1:17" customFormat="1" hidden="1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s="1" t="s">
        <v>30</v>
      </c>
      <c r="J33">
        <v>4.2</v>
      </c>
      <c r="K33" t="s">
        <v>37</v>
      </c>
      <c r="L33">
        <v>0.68</v>
      </c>
      <c r="M33" t="s">
        <v>22</v>
      </c>
      <c r="N33" t="s">
        <v>31</v>
      </c>
      <c r="O33">
        <v>10</v>
      </c>
      <c r="P33">
        <v>10</v>
      </c>
      <c r="Q33" t="str">
        <f t="shared" si="0"/>
        <v>GOOD</v>
      </c>
    </row>
    <row r="34" spans="1:17" x14ac:dyDescent="0.25">
      <c r="A34" s="3" t="s">
        <v>148</v>
      </c>
      <c r="B34" s="3" t="s">
        <v>149</v>
      </c>
      <c r="C34" s="3" t="s">
        <v>103</v>
      </c>
      <c r="D34" s="3">
        <v>46</v>
      </c>
      <c r="E34" s="3" t="s">
        <v>150</v>
      </c>
      <c r="F34" s="3" t="s">
        <v>151</v>
      </c>
      <c r="G34" s="3" t="s">
        <v>51</v>
      </c>
      <c r="H34" s="3">
        <v>9</v>
      </c>
      <c r="I34" s="4">
        <v>20</v>
      </c>
      <c r="J34" s="3">
        <v>1.4</v>
      </c>
      <c r="K34" s="3" t="b">
        <v>1</v>
      </c>
      <c r="L34" s="3">
        <v>0.76</v>
      </c>
      <c r="M34" s="3" t="s">
        <v>79</v>
      </c>
      <c r="N34" s="3" t="s">
        <v>31</v>
      </c>
      <c r="O34" s="3">
        <v>13</v>
      </c>
      <c r="P34" s="3">
        <v>6</v>
      </c>
      <c r="Q34" s="3" t="str">
        <f t="shared" si="0"/>
        <v>Average</v>
      </c>
    </row>
    <row r="35" spans="1:17" x14ac:dyDescent="0.25">
      <c r="A35" s="3" t="s">
        <v>152</v>
      </c>
      <c r="B35" s="3" t="s">
        <v>153</v>
      </c>
      <c r="C35" s="3" t="s">
        <v>34</v>
      </c>
      <c r="E35" s="3" t="s">
        <v>123</v>
      </c>
      <c r="F35" s="3" t="s">
        <v>124</v>
      </c>
      <c r="G35" s="3" t="s">
        <v>51</v>
      </c>
      <c r="H35" s="3">
        <v>9</v>
      </c>
      <c r="I35" s="4">
        <v>40</v>
      </c>
      <c r="J35" s="3">
        <v>2.4</v>
      </c>
      <c r="K35" s="3" t="s">
        <v>78</v>
      </c>
      <c r="L35" s="3">
        <v>82</v>
      </c>
      <c r="M35" s="3" t="s">
        <v>74</v>
      </c>
      <c r="N35" s="3" t="s">
        <v>67</v>
      </c>
      <c r="O35" s="3">
        <v>15</v>
      </c>
      <c r="P35" s="3">
        <v>3</v>
      </c>
      <c r="Q35" s="3" t="str">
        <f t="shared" si="0"/>
        <v>Average</v>
      </c>
    </row>
    <row r="36" spans="1:17" x14ac:dyDescent="0.25">
      <c r="A36" s="3" t="s">
        <v>154</v>
      </c>
      <c r="B36" s="3" t="s">
        <v>155</v>
      </c>
      <c r="C36" s="3" t="s">
        <v>26</v>
      </c>
      <c r="D36" s="3">
        <v>54</v>
      </c>
      <c r="E36" s="3" t="s">
        <v>66</v>
      </c>
      <c r="F36" s="3" t="s">
        <v>28</v>
      </c>
      <c r="G36" s="3" t="s">
        <v>42</v>
      </c>
      <c r="H36" s="3">
        <v>32</v>
      </c>
      <c r="I36" s="4">
        <v>75</v>
      </c>
      <c r="J36" s="3">
        <v>1</v>
      </c>
      <c r="K36" s="3" t="s">
        <v>78</v>
      </c>
      <c r="L36" s="3">
        <v>0.81</v>
      </c>
      <c r="M36" s="3" t="s">
        <v>53</v>
      </c>
      <c r="N36" s="3" t="s">
        <v>67</v>
      </c>
      <c r="O36" s="3">
        <v>18</v>
      </c>
      <c r="P36" s="3">
        <v>10</v>
      </c>
      <c r="Q36" s="3" t="str">
        <f t="shared" si="0"/>
        <v>Average</v>
      </c>
    </row>
    <row r="37" spans="1:17" customFormat="1" hidden="1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s="1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  <c r="Q37" t="str">
        <f t="shared" si="0"/>
        <v>Average</v>
      </c>
    </row>
    <row r="38" spans="1:17" x14ac:dyDescent="0.25">
      <c r="A38" s="3" t="s">
        <v>158</v>
      </c>
      <c r="B38" s="3" t="s">
        <v>159</v>
      </c>
      <c r="C38" s="3" t="s">
        <v>18</v>
      </c>
      <c r="D38" s="3">
        <v>42</v>
      </c>
      <c r="E38" s="3" t="s">
        <v>96</v>
      </c>
      <c r="F38" s="3" t="s">
        <v>97</v>
      </c>
      <c r="G38" s="3" t="s">
        <v>29</v>
      </c>
      <c r="H38" s="3">
        <v>6</v>
      </c>
      <c r="I38" s="4">
        <v>40</v>
      </c>
      <c r="K38" s="3">
        <v>0</v>
      </c>
      <c r="L38" s="3">
        <v>0.63</v>
      </c>
      <c r="M38" s="3" t="s">
        <v>74</v>
      </c>
      <c r="N38" s="3" t="s">
        <v>67</v>
      </c>
      <c r="O38" s="3">
        <v>15</v>
      </c>
      <c r="P38" s="3">
        <v>6</v>
      </c>
      <c r="Q38" s="3" t="str">
        <f t="shared" si="0"/>
        <v>Average</v>
      </c>
    </row>
    <row r="39" spans="1:17" x14ac:dyDescent="0.25">
      <c r="A39" s="3" t="s">
        <v>160</v>
      </c>
      <c r="B39" s="3" t="s">
        <v>161</v>
      </c>
      <c r="C39" s="3" t="s">
        <v>41</v>
      </c>
      <c r="D39" s="3">
        <v>29</v>
      </c>
      <c r="E39" s="3" t="s">
        <v>49</v>
      </c>
      <c r="F39" s="3" t="s">
        <v>50</v>
      </c>
      <c r="G39" s="3" t="s">
        <v>36</v>
      </c>
      <c r="H39" s="3">
        <v>10</v>
      </c>
      <c r="I39" s="4">
        <v>40</v>
      </c>
      <c r="J39" s="3">
        <v>2.2000000000000002</v>
      </c>
      <c r="K39" s="3" t="s">
        <v>37</v>
      </c>
      <c r="L39" s="3">
        <v>0.67</v>
      </c>
      <c r="M39" s="3" t="s">
        <v>79</v>
      </c>
      <c r="N39" s="3" t="s">
        <v>23</v>
      </c>
      <c r="O39" s="3">
        <v>10</v>
      </c>
      <c r="P39" s="3">
        <v>9</v>
      </c>
      <c r="Q39" s="3" t="str">
        <f t="shared" si="0"/>
        <v>Average</v>
      </c>
    </row>
    <row r="40" spans="1:17" x14ac:dyDescent="0.25">
      <c r="A40" s="3" t="s">
        <v>162</v>
      </c>
      <c r="B40" s="3" t="s">
        <v>163</v>
      </c>
      <c r="C40" s="3" t="s">
        <v>41</v>
      </c>
      <c r="D40" s="3">
        <v>42</v>
      </c>
      <c r="E40" s="3" t="s">
        <v>164</v>
      </c>
      <c r="F40" s="3" t="s">
        <v>165</v>
      </c>
      <c r="G40" s="3" t="s">
        <v>29</v>
      </c>
      <c r="H40" s="3">
        <v>23</v>
      </c>
      <c r="I40" s="4">
        <v>50</v>
      </c>
      <c r="J40" s="3">
        <v>3.2</v>
      </c>
      <c r="K40" s="3" t="s">
        <v>78</v>
      </c>
      <c r="M40" s="3" t="s">
        <v>74</v>
      </c>
      <c r="N40" s="3" t="s">
        <v>23</v>
      </c>
      <c r="O40" s="3">
        <v>13</v>
      </c>
      <c r="P40" s="3">
        <v>3</v>
      </c>
      <c r="Q40" s="3" t="str">
        <f t="shared" si="0"/>
        <v>Average</v>
      </c>
    </row>
    <row r="41" spans="1:17" customFormat="1" hidden="1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s="1" t="s">
        <v>132</v>
      </c>
      <c r="J41">
        <v>3.6</v>
      </c>
      <c r="K41">
        <v>0</v>
      </c>
      <c r="L41">
        <v>0.8</v>
      </c>
      <c r="M41" t="s">
        <v>74</v>
      </c>
      <c r="N41" t="s">
        <v>23</v>
      </c>
      <c r="O41">
        <v>9</v>
      </c>
      <c r="P41">
        <v>3</v>
      </c>
      <c r="Q41" t="str">
        <f t="shared" si="0"/>
        <v>GOOD</v>
      </c>
    </row>
    <row r="42" spans="1:17" customFormat="1" hidden="1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s="1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  <c r="Q42" t="str">
        <f t="shared" si="0"/>
        <v>Average</v>
      </c>
    </row>
    <row r="43" spans="1:17" x14ac:dyDescent="0.25">
      <c r="A43" s="3" t="s">
        <v>171</v>
      </c>
      <c r="B43" s="3" t="s">
        <v>172</v>
      </c>
      <c r="C43" s="3" t="s">
        <v>88</v>
      </c>
      <c r="D43" s="3">
        <v>21</v>
      </c>
      <c r="E43" s="3" t="s">
        <v>139</v>
      </c>
      <c r="F43" s="3" t="s">
        <v>28</v>
      </c>
      <c r="G43" s="3" t="s">
        <v>42</v>
      </c>
      <c r="H43" s="3">
        <v>0</v>
      </c>
      <c r="I43" s="4">
        <v>30</v>
      </c>
      <c r="J43" s="3">
        <v>2.7</v>
      </c>
      <c r="K43" s="3">
        <v>1</v>
      </c>
      <c r="L43" s="3">
        <v>0.84</v>
      </c>
      <c r="M43" s="3" t="s">
        <v>74</v>
      </c>
      <c r="N43" s="3" t="s">
        <v>31</v>
      </c>
      <c r="O43" s="3">
        <v>5</v>
      </c>
      <c r="P43" s="3">
        <v>1</v>
      </c>
      <c r="Q43" s="3" t="str">
        <f t="shared" si="0"/>
        <v>Average</v>
      </c>
    </row>
    <row r="44" spans="1:17" customFormat="1" hidden="1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s="1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  <c r="Q44" t="str">
        <f t="shared" si="0"/>
        <v>Average</v>
      </c>
    </row>
    <row r="45" spans="1:17" x14ac:dyDescent="0.25">
      <c r="A45" s="3" t="s">
        <v>175</v>
      </c>
      <c r="B45" s="3" t="s">
        <v>176</v>
      </c>
      <c r="C45" s="3" t="s">
        <v>34</v>
      </c>
      <c r="D45" s="3">
        <v>41</v>
      </c>
      <c r="E45" s="3" t="s">
        <v>77</v>
      </c>
      <c r="F45" s="3" t="s">
        <v>28</v>
      </c>
      <c r="G45" s="3" t="s">
        <v>59</v>
      </c>
      <c r="I45" s="4">
        <v>20</v>
      </c>
      <c r="J45" s="3">
        <v>2.8</v>
      </c>
      <c r="K45" s="3" t="b">
        <v>1</v>
      </c>
      <c r="L45" s="3">
        <v>0.63</v>
      </c>
      <c r="M45" s="3" t="s">
        <v>74</v>
      </c>
      <c r="N45" s="3" t="s">
        <v>67</v>
      </c>
      <c r="O45" s="3">
        <v>1</v>
      </c>
      <c r="P45" s="3">
        <v>1</v>
      </c>
      <c r="Q45" s="3" t="str">
        <f t="shared" si="0"/>
        <v>Average</v>
      </c>
    </row>
    <row r="46" spans="1:17" x14ac:dyDescent="0.25">
      <c r="A46" s="3" t="s">
        <v>177</v>
      </c>
      <c r="B46" s="3" t="s">
        <v>178</v>
      </c>
      <c r="C46" s="3" t="s">
        <v>88</v>
      </c>
      <c r="D46" s="3">
        <v>51</v>
      </c>
      <c r="E46" s="3" t="s">
        <v>49</v>
      </c>
      <c r="F46" s="3" t="s">
        <v>50</v>
      </c>
      <c r="G46" s="3" t="s">
        <v>125</v>
      </c>
      <c r="H46" s="3">
        <v>23</v>
      </c>
      <c r="I46" s="4">
        <v>20</v>
      </c>
      <c r="J46" s="3">
        <v>2.5</v>
      </c>
      <c r="K46" s="3" t="b">
        <v>0</v>
      </c>
      <c r="L46" s="3">
        <v>0.8</v>
      </c>
      <c r="M46" s="3" t="s">
        <v>53</v>
      </c>
      <c r="N46" s="3" t="s">
        <v>23</v>
      </c>
      <c r="O46" s="3">
        <v>17</v>
      </c>
      <c r="P46" s="3">
        <v>15</v>
      </c>
      <c r="Q46" s="3" t="str">
        <f t="shared" si="0"/>
        <v>Average</v>
      </c>
    </row>
    <row r="47" spans="1:17" customFormat="1" hidden="1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s="1" t="s">
        <v>181</v>
      </c>
      <c r="J47">
        <v>4.9000000000000004</v>
      </c>
      <c r="K47">
        <v>1</v>
      </c>
      <c r="L47">
        <v>0.74</v>
      </c>
      <c r="M47" t="s">
        <v>53</v>
      </c>
      <c r="N47" t="s">
        <v>67</v>
      </c>
      <c r="O47">
        <v>13</v>
      </c>
      <c r="P47">
        <v>8</v>
      </c>
      <c r="Q47" t="str">
        <f t="shared" si="0"/>
        <v>GOOD</v>
      </c>
    </row>
    <row r="48" spans="1:17" customFormat="1" hidden="1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s="1" t="s">
        <v>120</v>
      </c>
      <c r="J48">
        <v>4.5</v>
      </c>
      <c r="K48">
        <v>1</v>
      </c>
      <c r="L48">
        <v>0.85</v>
      </c>
      <c r="M48" t="s">
        <v>53</v>
      </c>
      <c r="N48" t="s">
        <v>67</v>
      </c>
      <c r="O48">
        <v>12</v>
      </c>
      <c r="P48">
        <v>4</v>
      </c>
      <c r="Q48" t="str">
        <f t="shared" si="0"/>
        <v>GOOD</v>
      </c>
    </row>
    <row r="49" spans="1:17" x14ac:dyDescent="0.25">
      <c r="A49" s="3" t="s">
        <v>184</v>
      </c>
      <c r="B49" s="3" t="s">
        <v>185</v>
      </c>
      <c r="C49" s="3" t="s">
        <v>34</v>
      </c>
      <c r="D49" s="3">
        <v>25</v>
      </c>
      <c r="E49" s="3" t="s">
        <v>186</v>
      </c>
      <c r="F49" s="3" t="s">
        <v>187</v>
      </c>
      <c r="G49" s="3" t="s">
        <v>36</v>
      </c>
      <c r="H49" s="3">
        <v>4</v>
      </c>
      <c r="I49" s="4">
        <v>50</v>
      </c>
      <c r="J49" s="3">
        <v>2.7</v>
      </c>
      <c r="K49" s="3" t="s">
        <v>37</v>
      </c>
      <c r="L49" s="3">
        <v>0.77</v>
      </c>
      <c r="M49" s="3" t="s">
        <v>79</v>
      </c>
      <c r="N49" s="3" t="s">
        <v>31</v>
      </c>
      <c r="O49" s="3">
        <v>4</v>
      </c>
      <c r="P49" s="3">
        <v>3</v>
      </c>
      <c r="Q49" s="3" t="str">
        <f t="shared" si="0"/>
        <v>Average</v>
      </c>
    </row>
    <row r="50" spans="1:17" x14ac:dyDescent="0.25">
      <c r="A50" s="3" t="s">
        <v>188</v>
      </c>
      <c r="B50" s="3" t="s">
        <v>189</v>
      </c>
      <c r="C50" s="3" t="s">
        <v>41</v>
      </c>
      <c r="D50" s="3">
        <v>25</v>
      </c>
      <c r="E50" s="3" t="s">
        <v>190</v>
      </c>
      <c r="F50" s="3" t="s">
        <v>83</v>
      </c>
      <c r="G50" s="3" t="s">
        <v>29</v>
      </c>
      <c r="H50" s="3">
        <v>7</v>
      </c>
      <c r="I50" s="4">
        <v>20</v>
      </c>
      <c r="J50" s="3">
        <v>1.9</v>
      </c>
      <c r="K50" s="3">
        <v>0</v>
      </c>
      <c r="M50" s="3" t="s">
        <v>22</v>
      </c>
      <c r="N50" s="3" t="s">
        <v>23</v>
      </c>
      <c r="O50" s="3">
        <v>12</v>
      </c>
      <c r="P50" s="3">
        <v>10</v>
      </c>
      <c r="Q50" s="3" t="str">
        <f t="shared" si="0"/>
        <v>Average</v>
      </c>
    </row>
    <row r="51" spans="1:17" x14ac:dyDescent="0.25">
      <c r="A51" s="3" t="s">
        <v>191</v>
      </c>
      <c r="B51" s="3" t="s">
        <v>192</v>
      </c>
      <c r="C51" s="3" t="s">
        <v>56</v>
      </c>
      <c r="D51" s="3">
        <v>29</v>
      </c>
      <c r="E51" s="3"/>
      <c r="F51" s="3" t="s">
        <v>50</v>
      </c>
      <c r="G51" s="3" t="s">
        <v>84</v>
      </c>
      <c r="H51" s="3">
        <v>1</v>
      </c>
      <c r="I51" s="4">
        <v>20</v>
      </c>
      <c r="J51" s="3">
        <v>1.4</v>
      </c>
      <c r="K51" s="3">
        <v>1</v>
      </c>
      <c r="L51" s="3">
        <v>0.63</v>
      </c>
      <c r="M51" s="3" t="s">
        <v>53</v>
      </c>
      <c r="N51" s="3" t="s">
        <v>31</v>
      </c>
      <c r="O51" s="3">
        <v>2</v>
      </c>
      <c r="P51" s="3">
        <v>1</v>
      </c>
      <c r="Q51" s="3" t="str">
        <f t="shared" si="0"/>
        <v>Average</v>
      </c>
    </row>
    <row r="52" spans="1:17" x14ac:dyDescent="0.25">
      <c r="A52" s="3" t="s">
        <v>193</v>
      </c>
      <c r="B52" s="3" t="s">
        <v>194</v>
      </c>
      <c r="C52" s="3" t="s">
        <v>26</v>
      </c>
      <c r="D52" s="3">
        <v>23</v>
      </c>
      <c r="E52" s="3" t="s">
        <v>82</v>
      </c>
      <c r="F52" s="3" t="s">
        <v>83</v>
      </c>
      <c r="G52" s="3" t="s">
        <v>89</v>
      </c>
      <c r="H52" s="3">
        <v>0</v>
      </c>
      <c r="I52" s="4">
        <v>75</v>
      </c>
      <c r="J52" s="3">
        <v>1.9</v>
      </c>
      <c r="K52" s="3" t="b">
        <v>1</v>
      </c>
      <c r="L52" s="3">
        <v>0.79</v>
      </c>
      <c r="M52" s="3" t="s">
        <v>53</v>
      </c>
      <c r="N52" s="3" t="s">
        <v>38</v>
      </c>
      <c r="O52" s="3">
        <v>2</v>
      </c>
      <c r="P52" s="3">
        <v>5</v>
      </c>
      <c r="Q52" s="3" t="str">
        <f t="shared" si="0"/>
        <v>Average</v>
      </c>
    </row>
    <row r="53" spans="1:17" x14ac:dyDescent="0.25">
      <c r="A53" s="3" t="s">
        <v>195</v>
      </c>
      <c r="B53" s="3" t="s">
        <v>196</v>
      </c>
      <c r="C53" s="3" t="s">
        <v>34</v>
      </c>
      <c r="D53" s="3">
        <v>31</v>
      </c>
      <c r="E53" s="3" t="s">
        <v>146</v>
      </c>
      <c r="F53" s="3" t="s">
        <v>147</v>
      </c>
      <c r="G53" s="3" t="s">
        <v>59</v>
      </c>
      <c r="H53" s="3">
        <v>8</v>
      </c>
      <c r="I53" s="4">
        <v>50</v>
      </c>
      <c r="J53" s="3">
        <v>3.4</v>
      </c>
      <c r="K53" s="3">
        <v>0</v>
      </c>
      <c r="M53" s="3" t="s">
        <v>79</v>
      </c>
      <c r="N53" s="3" t="s">
        <v>38</v>
      </c>
      <c r="O53" s="3">
        <v>11</v>
      </c>
      <c r="P53" s="3">
        <v>3</v>
      </c>
      <c r="Q53" s="3" t="str">
        <f t="shared" si="0"/>
        <v>Average</v>
      </c>
    </row>
    <row r="54" spans="1:17" x14ac:dyDescent="0.25">
      <c r="A54" s="3" t="s">
        <v>197</v>
      </c>
      <c r="B54" s="3" t="s">
        <v>198</v>
      </c>
      <c r="C54" s="3" t="s">
        <v>108</v>
      </c>
      <c r="D54" s="3">
        <v>51</v>
      </c>
      <c r="E54" s="3" t="s">
        <v>35</v>
      </c>
      <c r="F54" s="3" t="s">
        <v>35</v>
      </c>
      <c r="G54" s="3" t="s">
        <v>125</v>
      </c>
      <c r="H54" s="3">
        <v>33</v>
      </c>
      <c r="I54" s="4">
        <v>75</v>
      </c>
      <c r="J54" s="3">
        <v>3.3</v>
      </c>
      <c r="L54" s="3">
        <v>0.68</v>
      </c>
      <c r="M54" s="3" t="s">
        <v>53</v>
      </c>
      <c r="N54" s="3" t="s">
        <v>38</v>
      </c>
      <c r="O54" s="3">
        <v>17</v>
      </c>
      <c r="P54" s="3">
        <v>8</v>
      </c>
      <c r="Q54" s="3" t="str">
        <f t="shared" si="0"/>
        <v>Average</v>
      </c>
    </row>
    <row r="55" spans="1:17" x14ac:dyDescent="0.25">
      <c r="A55" s="3" t="s">
        <v>199</v>
      </c>
      <c r="B55" s="3" t="s">
        <v>200</v>
      </c>
      <c r="C55" s="3" t="s">
        <v>56</v>
      </c>
      <c r="E55" s="3" t="s">
        <v>201</v>
      </c>
      <c r="F55" s="3" t="s">
        <v>83</v>
      </c>
      <c r="G55" s="3" t="s">
        <v>84</v>
      </c>
      <c r="H55" s="3">
        <v>1</v>
      </c>
      <c r="I55" s="4">
        <v>30</v>
      </c>
      <c r="J55" s="3">
        <v>0</v>
      </c>
      <c r="K55" s="3">
        <v>0</v>
      </c>
      <c r="L55" s="3">
        <v>0.68</v>
      </c>
      <c r="M55" s="3" t="s">
        <v>74</v>
      </c>
      <c r="N55" s="3" t="s">
        <v>23</v>
      </c>
      <c r="O55" s="3">
        <v>1</v>
      </c>
      <c r="P55" s="3">
        <v>2</v>
      </c>
      <c r="Q55" s="3" t="str">
        <f t="shared" si="0"/>
        <v>Average</v>
      </c>
    </row>
    <row r="56" spans="1:17" x14ac:dyDescent="0.25">
      <c r="A56" s="3" t="s">
        <v>202</v>
      </c>
      <c r="B56" s="3" t="s">
        <v>203</v>
      </c>
      <c r="C56" s="3" t="s">
        <v>18</v>
      </c>
      <c r="D56" s="3">
        <v>29</v>
      </c>
      <c r="E56" s="3" t="s">
        <v>71</v>
      </c>
      <c r="F56" s="3" t="s">
        <v>72</v>
      </c>
      <c r="G56" s="3" t="s">
        <v>89</v>
      </c>
      <c r="H56" s="3">
        <v>11</v>
      </c>
      <c r="I56" s="4">
        <v>100</v>
      </c>
      <c r="J56" s="3">
        <v>2.2999999999999998</v>
      </c>
      <c r="K56" s="3" t="b">
        <v>1</v>
      </c>
      <c r="L56" s="3">
        <v>0.72</v>
      </c>
      <c r="M56" s="3" t="s">
        <v>74</v>
      </c>
      <c r="N56" s="3" t="s">
        <v>67</v>
      </c>
      <c r="O56" s="3">
        <v>7</v>
      </c>
      <c r="P56" s="3">
        <v>7</v>
      </c>
      <c r="Q56" s="3" t="str">
        <f t="shared" si="0"/>
        <v>Average</v>
      </c>
    </row>
    <row r="57" spans="1:17" customFormat="1" hidden="1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I57" s="1"/>
      <c r="J57">
        <v>2</v>
      </c>
      <c r="K57" t="s">
        <v>78</v>
      </c>
      <c r="L57">
        <v>0.65</v>
      </c>
      <c r="M57" t="s">
        <v>22</v>
      </c>
      <c r="N57" t="s">
        <v>23</v>
      </c>
      <c r="O57">
        <v>7</v>
      </c>
      <c r="P57">
        <v>7</v>
      </c>
      <c r="Q57" t="str">
        <f t="shared" si="0"/>
        <v>Average</v>
      </c>
    </row>
    <row r="58" spans="1:17" x14ac:dyDescent="0.25">
      <c r="A58" s="3" t="s">
        <v>206</v>
      </c>
      <c r="B58" s="3" t="s">
        <v>207</v>
      </c>
      <c r="C58" s="3" t="s">
        <v>18</v>
      </c>
      <c r="D58" s="3">
        <v>26</v>
      </c>
      <c r="E58" s="3" t="s">
        <v>77</v>
      </c>
      <c r="F58" s="3" t="s">
        <v>28</v>
      </c>
      <c r="G58" s="3" t="s">
        <v>100</v>
      </c>
      <c r="H58" s="3">
        <v>8</v>
      </c>
      <c r="I58" s="4">
        <v>50</v>
      </c>
      <c r="J58" s="3">
        <v>1.3</v>
      </c>
      <c r="K58" s="3" t="b">
        <v>0</v>
      </c>
      <c r="L58" s="3">
        <v>0.76</v>
      </c>
      <c r="M58" s="3" t="s">
        <v>53</v>
      </c>
      <c r="N58" s="3" t="s">
        <v>23</v>
      </c>
      <c r="O58" s="3">
        <v>7</v>
      </c>
      <c r="P58" s="3">
        <v>5</v>
      </c>
      <c r="Q58" s="3" t="str">
        <f t="shared" si="0"/>
        <v>Average</v>
      </c>
    </row>
    <row r="59" spans="1:17" customFormat="1" hidden="1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s="1" t="s">
        <v>63</v>
      </c>
      <c r="J59">
        <v>4</v>
      </c>
      <c r="K59" t="b">
        <v>1</v>
      </c>
      <c r="L59">
        <v>0.9</v>
      </c>
      <c r="M59" t="s">
        <v>79</v>
      </c>
      <c r="N59" t="s">
        <v>67</v>
      </c>
      <c r="O59">
        <v>16</v>
      </c>
      <c r="P59">
        <v>11</v>
      </c>
      <c r="Q59" t="str">
        <f t="shared" si="0"/>
        <v>GOOD</v>
      </c>
    </row>
    <row r="60" spans="1:17" x14ac:dyDescent="0.25">
      <c r="A60" s="3" t="s">
        <v>210</v>
      </c>
      <c r="B60" s="3" t="s">
        <v>211</v>
      </c>
      <c r="C60" s="3" t="s">
        <v>26</v>
      </c>
      <c r="D60" s="3">
        <v>23</v>
      </c>
      <c r="E60" s="3" t="s">
        <v>104</v>
      </c>
      <c r="F60" s="3" t="s">
        <v>105</v>
      </c>
      <c r="G60" s="3" t="s">
        <v>29</v>
      </c>
      <c r="I60" s="4">
        <v>75</v>
      </c>
      <c r="J60" s="3">
        <v>3.6</v>
      </c>
      <c r="K60" s="3">
        <v>1</v>
      </c>
      <c r="L60" s="3">
        <v>0.65</v>
      </c>
      <c r="M60" s="3" t="s">
        <v>74</v>
      </c>
      <c r="N60" s="3" t="s">
        <v>31</v>
      </c>
      <c r="O60" s="3">
        <v>2</v>
      </c>
      <c r="P60" s="3">
        <v>4</v>
      </c>
      <c r="Q60" s="3" t="str">
        <f t="shared" si="0"/>
        <v>GOOD</v>
      </c>
    </row>
    <row r="61" spans="1:17" x14ac:dyDescent="0.25">
      <c r="A61" s="3" t="s">
        <v>212</v>
      </c>
      <c r="B61" s="3" t="s">
        <v>213</v>
      </c>
      <c r="C61" s="3" t="s">
        <v>88</v>
      </c>
      <c r="D61" s="3">
        <v>51</v>
      </c>
      <c r="E61" s="3" t="s">
        <v>164</v>
      </c>
      <c r="F61" s="3" t="s">
        <v>165</v>
      </c>
      <c r="G61" s="3" t="s">
        <v>100</v>
      </c>
      <c r="H61" s="3">
        <v>28</v>
      </c>
      <c r="I61" s="4">
        <v>40</v>
      </c>
      <c r="J61" s="3">
        <v>3.9</v>
      </c>
      <c r="K61" s="3">
        <v>0</v>
      </c>
      <c r="L61" s="3">
        <v>0.63</v>
      </c>
      <c r="M61" s="3" t="s">
        <v>79</v>
      </c>
      <c r="N61" s="3" t="s">
        <v>38</v>
      </c>
      <c r="O61" s="3">
        <v>13</v>
      </c>
      <c r="P61" s="3">
        <v>6</v>
      </c>
      <c r="Q61" s="3" t="str">
        <f t="shared" si="0"/>
        <v>GOOD</v>
      </c>
    </row>
    <row r="62" spans="1:17" customFormat="1" hidden="1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s="1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  <c r="Q62" t="str">
        <f t="shared" si="0"/>
        <v>Average</v>
      </c>
    </row>
    <row r="63" spans="1:17" x14ac:dyDescent="0.25">
      <c r="A63" s="3" t="s">
        <v>216</v>
      </c>
      <c r="B63" s="3" t="s">
        <v>217</v>
      </c>
      <c r="C63" s="3" t="s">
        <v>108</v>
      </c>
      <c r="D63" s="3">
        <v>47</v>
      </c>
      <c r="E63" s="3" t="s">
        <v>35</v>
      </c>
      <c r="F63" s="3" t="s">
        <v>35</v>
      </c>
      <c r="G63" s="3" t="s">
        <v>51</v>
      </c>
      <c r="H63" s="3">
        <v>18</v>
      </c>
      <c r="I63" s="4">
        <v>75</v>
      </c>
      <c r="J63" s="3">
        <v>0</v>
      </c>
      <c r="K63" s="3">
        <v>0</v>
      </c>
      <c r="M63" s="3" t="s">
        <v>74</v>
      </c>
      <c r="N63" s="3" t="s">
        <v>38</v>
      </c>
      <c r="O63" s="3">
        <v>11</v>
      </c>
      <c r="P63" s="3">
        <v>8</v>
      </c>
      <c r="Q63" s="3" t="str">
        <f t="shared" si="0"/>
        <v>Average</v>
      </c>
    </row>
    <row r="64" spans="1:17" customFormat="1" hidden="1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s="1" t="s">
        <v>132</v>
      </c>
      <c r="J64">
        <v>2.2999999999999998</v>
      </c>
      <c r="K64" t="s">
        <v>78</v>
      </c>
      <c r="L64">
        <v>0.93</v>
      </c>
      <c r="M64" t="s">
        <v>79</v>
      </c>
      <c r="N64" t="s">
        <v>23</v>
      </c>
      <c r="O64">
        <v>15</v>
      </c>
      <c r="P64">
        <v>5</v>
      </c>
      <c r="Q64" t="str">
        <f t="shared" si="0"/>
        <v>Average</v>
      </c>
    </row>
    <row r="65" spans="1:17" customFormat="1" hidden="1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s="1" t="s">
        <v>109</v>
      </c>
      <c r="J65">
        <v>4.7</v>
      </c>
      <c r="K65" t="s">
        <v>170</v>
      </c>
      <c r="L65">
        <v>0.7</v>
      </c>
      <c r="M65" t="s">
        <v>74</v>
      </c>
      <c r="N65" t="s">
        <v>38</v>
      </c>
      <c r="O65">
        <v>17</v>
      </c>
      <c r="P65">
        <v>13</v>
      </c>
      <c r="Q65" t="str">
        <f t="shared" si="0"/>
        <v>GOOD</v>
      </c>
    </row>
    <row r="66" spans="1:17" customFormat="1" hidden="1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I66" s="1"/>
      <c r="J66">
        <v>3.5</v>
      </c>
      <c r="K66" t="s">
        <v>85</v>
      </c>
      <c r="L66">
        <v>0.83</v>
      </c>
      <c r="M66" t="s">
        <v>79</v>
      </c>
      <c r="N66" t="s">
        <v>23</v>
      </c>
      <c r="O66">
        <v>13</v>
      </c>
      <c r="P66">
        <v>8</v>
      </c>
      <c r="Q66" t="str">
        <f t="shared" ref="Q66:Q129" si="1">IF(J66&lt;3.5,"Average","GOOD")</f>
        <v>GOOD</v>
      </c>
    </row>
    <row r="67" spans="1:17" x14ac:dyDescent="0.25">
      <c r="A67" s="3" t="s">
        <v>224</v>
      </c>
      <c r="B67" s="3" t="s">
        <v>225</v>
      </c>
      <c r="C67" s="3" t="s">
        <v>26</v>
      </c>
      <c r="D67" s="3">
        <v>34</v>
      </c>
      <c r="E67" s="3" t="s">
        <v>201</v>
      </c>
      <c r="F67" s="3" t="s">
        <v>83</v>
      </c>
      <c r="G67" s="3" t="s">
        <v>42</v>
      </c>
      <c r="H67" s="3">
        <v>12</v>
      </c>
      <c r="I67" s="4">
        <v>40</v>
      </c>
      <c r="J67" s="3">
        <v>2.4</v>
      </c>
      <c r="K67" s="3">
        <v>1</v>
      </c>
      <c r="L67" s="3">
        <v>64</v>
      </c>
      <c r="M67" s="3" t="s">
        <v>74</v>
      </c>
      <c r="N67" s="3" t="s">
        <v>31</v>
      </c>
      <c r="O67" s="3">
        <v>14</v>
      </c>
      <c r="P67" s="3">
        <v>12</v>
      </c>
      <c r="Q67" s="3" t="str">
        <f t="shared" si="1"/>
        <v>Average</v>
      </c>
    </row>
    <row r="68" spans="1:17" customFormat="1" hidden="1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s="1" t="s">
        <v>60</v>
      </c>
      <c r="J68">
        <v>4</v>
      </c>
      <c r="K68" t="s">
        <v>37</v>
      </c>
      <c r="L68">
        <v>1</v>
      </c>
      <c r="M68" t="s">
        <v>53</v>
      </c>
      <c r="N68" t="s">
        <v>23</v>
      </c>
      <c r="O68">
        <v>9</v>
      </c>
      <c r="P68">
        <v>2</v>
      </c>
      <c r="Q68" t="str">
        <f t="shared" si="1"/>
        <v>GOOD</v>
      </c>
    </row>
    <row r="69" spans="1:17" customFormat="1" hidden="1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s="1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  <c r="Q69" t="str">
        <f t="shared" si="1"/>
        <v>Average</v>
      </c>
    </row>
    <row r="70" spans="1:17" x14ac:dyDescent="0.25">
      <c r="A70" s="3" t="s">
        <v>230</v>
      </c>
      <c r="B70" s="3" t="s">
        <v>231</v>
      </c>
      <c r="C70" s="3" t="s">
        <v>56</v>
      </c>
      <c r="E70" s="3" t="s">
        <v>82</v>
      </c>
      <c r="F70" s="3" t="s">
        <v>83</v>
      </c>
      <c r="G70" s="3" t="s">
        <v>84</v>
      </c>
      <c r="H70" s="3">
        <v>6</v>
      </c>
      <c r="I70" s="4">
        <v>100</v>
      </c>
      <c r="J70" s="3">
        <v>1.5</v>
      </c>
      <c r="K70" s="3" t="b">
        <v>0</v>
      </c>
      <c r="M70" s="3" t="s">
        <v>74</v>
      </c>
      <c r="N70" s="3" t="s">
        <v>67</v>
      </c>
      <c r="O70" s="3">
        <v>8</v>
      </c>
      <c r="P70" s="3">
        <v>2</v>
      </c>
      <c r="Q70" s="3" t="str">
        <f t="shared" si="1"/>
        <v>Average</v>
      </c>
    </row>
    <row r="71" spans="1:17" customFormat="1" hidden="1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s="1" t="s">
        <v>132</v>
      </c>
      <c r="J71">
        <v>2</v>
      </c>
      <c r="K71" t="s">
        <v>170</v>
      </c>
      <c r="L71">
        <v>0.71</v>
      </c>
      <c r="M71" t="s">
        <v>74</v>
      </c>
      <c r="N71" t="s">
        <v>67</v>
      </c>
      <c r="O71">
        <v>19</v>
      </c>
      <c r="P71">
        <v>7</v>
      </c>
      <c r="Q71" t="str">
        <f t="shared" si="1"/>
        <v>Average</v>
      </c>
    </row>
    <row r="72" spans="1:17" customFormat="1" hidden="1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I72" s="1"/>
      <c r="K72" t="s">
        <v>78</v>
      </c>
      <c r="L72">
        <v>0.84</v>
      </c>
      <c r="M72" t="s">
        <v>22</v>
      </c>
      <c r="N72" t="s">
        <v>67</v>
      </c>
      <c r="O72">
        <v>6</v>
      </c>
      <c r="P72">
        <v>3</v>
      </c>
      <c r="Q72" t="str">
        <f t="shared" si="1"/>
        <v>Average</v>
      </c>
    </row>
    <row r="73" spans="1:17" customFormat="1" hidden="1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s="1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  <c r="Q73" t="str">
        <f t="shared" si="1"/>
        <v>Average</v>
      </c>
    </row>
    <row r="74" spans="1:17" customFormat="1" hidden="1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s="1" t="s">
        <v>240</v>
      </c>
      <c r="J74">
        <v>4.5</v>
      </c>
      <c r="K74" t="s">
        <v>78</v>
      </c>
      <c r="L74">
        <v>0.69</v>
      </c>
      <c r="M74" t="s">
        <v>74</v>
      </c>
      <c r="N74" t="s">
        <v>67</v>
      </c>
      <c r="O74">
        <v>11</v>
      </c>
      <c r="P74">
        <v>10</v>
      </c>
      <c r="Q74" t="str">
        <f t="shared" si="1"/>
        <v>GOOD</v>
      </c>
    </row>
    <row r="75" spans="1:17" customFormat="1" hidden="1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I75" s="1"/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  <c r="Q75" t="str">
        <f t="shared" si="1"/>
        <v>Average</v>
      </c>
    </row>
    <row r="76" spans="1:17" customFormat="1" hidden="1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s="1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  <c r="Q76" t="str">
        <f t="shared" si="1"/>
        <v>GOOD</v>
      </c>
    </row>
    <row r="77" spans="1:17" x14ac:dyDescent="0.25">
      <c r="A77" s="3" t="s">
        <v>245</v>
      </c>
      <c r="B77" s="3" t="s">
        <v>246</v>
      </c>
      <c r="C77" s="3" t="s">
        <v>108</v>
      </c>
      <c r="D77" s="3">
        <v>32</v>
      </c>
      <c r="E77" s="3" t="s">
        <v>104</v>
      </c>
      <c r="F77" s="3" t="s">
        <v>105</v>
      </c>
      <c r="G77" s="3" t="s">
        <v>59</v>
      </c>
      <c r="I77" s="4">
        <v>30</v>
      </c>
      <c r="J77" s="3">
        <v>1.9</v>
      </c>
      <c r="K77" s="3" t="b">
        <v>1</v>
      </c>
      <c r="L77" s="3">
        <v>0.96</v>
      </c>
      <c r="M77" s="3" t="s">
        <v>53</v>
      </c>
      <c r="N77" s="3" t="s">
        <v>31</v>
      </c>
      <c r="O77" s="3">
        <v>2</v>
      </c>
      <c r="P77" s="3">
        <v>2</v>
      </c>
      <c r="Q77" s="3" t="str">
        <f t="shared" si="1"/>
        <v>Average</v>
      </c>
    </row>
    <row r="78" spans="1:17" customFormat="1" hidden="1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s="1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  <c r="Q78" t="str">
        <f t="shared" si="1"/>
        <v>GOOD</v>
      </c>
    </row>
    <row r="79" spans="1:17" customFormat="1" hidden="1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s="1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  <c r="Q79" t="str">
        <f t="shared" si="1"/>
        <v>Average</v>
      </c>
    </row>
    <row r="80" spans="1:17" customFormat="1" hidden="1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I80" s="1"/>
      <c r="J80">
        <v>0</v>
      </c>
      <c r="K80">
        <v>1</v>
      </c>
      <c r="L80">
        <v>0.89</v>
      </c>
      <c r="M80" t="s">
        <v>79</v>
      </c>
      <c r="N80" t="s">
        <v>23</v>
      </c>
      <c r="O80">
        <v>14</v>
      </c>
      <c r="P80">
        <v>6</v>
      </c>
      <c r="Q80" t="str">
        <f t="shared" si="1"/>
        <v>Average</v>
      </c>
    </row>
    <row r="81" spans="1:17" customFormat="1" hidden="1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s="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  <c r="Q81" t="str">
        <f t="shared" si="1"/>
        <v>GOOD</v>
      </c>
    </row>
    <row r="82" spans="1:17" x14ac:dyDescent="0.25">
      <c r="A82" s="3" t="s">
        <v>255</v>
      </c>
      <c r="B82" s="3" t="s">
        <v>256</v>
      </c>
      <c r="C82" s="3" t="s">
        <v>88</v>
      </c>
      <c r="D82" s="3">
        <v>33</v>
      </c>
      <c r="E82" s="3" t="s">
        <v>82</v>
      </c>
      <c r="F82" s="3" t="s">
        <v>83</v>
      </c>
      <c r="G82" s="3" t="s">
        <v>84</v>
      </c>
      <c r="H82" s="3">
        <v>12</v>
      </c>
      <c r="I82" s="4">
        <v>100</v>
      </c>
      <c r="J82" s="3">
        <v>3.6</v>
      </c>
      <c r="K82" s="3">
        <v>0</v>
      </c>
      <c r="L82" s="3">
        <v>0.63</v>
      </c>
      <c r="M82" s="3" t="s">
        <v>22</v>
      </c>
      <c r="N82" s="3" t="s">
        <v>67</v>
      </c>
      <c r="O82" s="3">
        <v>10</v>
      </c>
      <c r="P82" s="3">
        <v>2</v>
      </c>
      <c r="Q82" s="3" t="str">
        <f t="shared" si="1"/>
        <v>GOOD</v>
      </c>
    </row>
    <row r="83" spans="1:17" customFormat="1" hidden="1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s="1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  <c r="Q83" t="str">
        <f t="shared" si="1"/>
        <v>GOOD</v>
      </c>
    </row>
    <row r="84" spans="1:17" x14ac:dyDescent="0.25">
      <c r="A84" s="3" t="s">
        <v>259</v>
      </c>
      <c r="B84" s="3" t="s">
        <v>260</v>
      </c>
      <c r="C84" s="3" t="s">
        <v>108</v>
      </c>
      <c r="E84" s="3" t="s">
        <v>186</v>
      </c>
      <c r="F84" s="3" t="s">
        <v>187</v>
      </c>
      <c r="G84" s="3" t="s">
        <v>100</v>
      </c>
      <c r="H84" s="3">
        <v>3</v>
      </c>
      <c r="I84" s="4">
        <v>40</v>
      </c>
      <c r="J84" s="3">
        <v>4.5999999999999996</v>
      </c>
      <c r="K84" s="3" t="s">
        <v>37</v>
      </c>
      <c r="L84" s="3">
        <v>0.74</v>
      </c>
      <c r="M84" s="3" t="s">
        <v>53</v>
      </c>
      <c r="N84" s="3" t="s">
        <v>23</v>
      </c>
      <c r="O84" s="3">
        <v>1</v>
      </c>
      <c r="P84" s="3">
        <v>1</v>
      </c>
      <c r="Q84" s="3" t="str">
        <f t="shared" si="1"/>
        <v>GOOD</v>
      </c>
    </row>
    <row r="85" spans="1:17" customFormat="1" hidden="1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s="1" t="s">
        <v>181</v>
      </c>
      <c r="J85">
        <v>3.2</v>
      </c>
      <c r="K85" t="b">
        <v>0</v>
      </c>
      <c r="L85">
        <v>0.72</v>
      </c>
      <c r="M85" t="s">
        <v>53</v>
      </c>
      <c r="N85" t="s">
        <v>38</v>
      </c>
      <c r="O85">
        <v>2</v>
      </c>
      <c r="P85">
        <v>1</v>
      </c>
      <c r="Q85" t="str">
        <f t="shared" si="1"/>
        <v>Average</v>
      </c>
    </row>
    <row r="86" spans="1:17" customFormat="1" hidden="1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s="1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  <c r="Q86" t="str">
        <f t="shared" si="1"/>
        <v>Average</v>
      </c>
    </row>
    <row r="87" spans="1:17" x14ac:dyDescent="0.25">
      <c r="A87" s="3" t="s">
        <v>265</v>
      </c>
      <c r="B87" s="3" t="s">
        <v>266</v>
      </c>
      <c r="C87" s="3" t="s">
        <v>46</v>
      </c>
      <c r="D87" s="3">
        <v>21</v>
      </c>
      <c r="E87" s="3" t="s">
        <v>186</v>
      </c>
      <c r="F87" s="3" t="s">
        <v>187</v>
      </c>
      <c r="G87" s="3" t="s">
        <v>100</v>
      </c>
      <c r="H87" s="3">
        <v>2</v>
      </c>
      <c r="I87" s="4">
        <v>100</v>
      </c>
      <c r="J87" s="3">
        <v>2.6</v>
      </c>
      <c r="K87" s="3" t="s">
        <v>85</v>
      </c>
      <c r="L87" s="3">
        <v>0.85</v>
      </c>
      <c r="M87" s="3" t="s">
        <v>74</v>
      </c>
      <c r="N87" s="3" t="s">
        <v>67</v>
      </c>
      <c r="O87" s="3">
        <v>5</v>
      </c>
      <c r="P87" s="3">
        <v>3</v>
      </c>
      <c r="Q87" s="3" t="str">
        <f t="shared" si="1"/>
        <v>Average</v>
      </c>
    </row>
    <row r="88" spans="1:17" customFormat="1" hidden="1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s="1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  <c r="Q88" t="str">
        <f t="shared" si="1"/>
        <v>GOOD</v>
      </c>
    </row>
    <row r="89" spans="1:17" x14ac:dyDescent="0.25">
      <c r="A89" s="3" t="s">
        <v>269</v>
      </c>
      <c r="B89" s="3" t="s">
        <v>270</v>
      </c>
      <c r="C89" s="3" t="s">
        <v>18</v>
      </c>
      <c r="D89" s="3">
        <v>38</v>
      </c>
      <c r="E89" s="3" t="s">
        <v>190</v>
      </c>
      <c r="F89" s="3" t="s">
        <v>83</v>
      </c>
      <c r="G89" s="3" t="s">
        <v>42</v>
      </c>
      <c r="H89" s="3">
        <v>19</v>
      </c>
      <c r="I89" s="4">
        <v>75</v>
      </c>
      <c r="J89" s="3">
        <v>2.2999999999999998</v>
      </c>
      <c r="K89" s="3" t="b">
        <v>0</v>
      </c>
      <c r="L89" s="3">
        <v>0.61</v>
      </c>
      <c r="M89" s="3" t="s">
        <v>79</v>
      </c>
      <c r="N89" s="3" t="s">
        <v>23</v>
      </c>
      <c r="O89" s="3">
        <v>20</v>
      </c>
      <c r="P89" s="3">
        <v>9</v>
      </c>
      <c r="Q89" s="3" t="str">
        <f t="shared" si="1"/>
        <v>Average</v>
      </c>
    </row>
    <row r="90" spans="1:17" x14ac:dyDescent="0.25">
      <c r="A90" s="3" t="s">
        <v>271</v>
      </c>
      <c r="B90" s="3" t="s">
        <v>272</v>
      </c>
      <c r="C90" s="3" t="s">
        <v>108</v>
      </c>
      <c r="D90" s="3">
        <v>57</v>
      </c>
      <c r="E90" s="3" t="s">
        <v>135</v>
      </c>
      <c r="F90" s="3" t="s">
        <v>136</v>
      </c>
      <c r="G90" s="3" t="s">
        <v>51</v>
      </c>
      <c r="H90" s="3">
        <v>16</v>
      </c>
      <c r="I90" s="4">
        <v>100</v>
      </c>
      <c r="J90" s="3">
        <v>3.1</v>
      </c>
      <c r="K90" s="3" t="b">
        <v>0</v>
      </c>
      <c r="M90" s="3" t="s">
        <v>22</v>
      </c>
      <c r="N90" s="3" t="s">
        <v>38</v>
      </c>
      <c r="O90" s="3">
        <v>18</v>
      </c>
      <c r="P90" s="3">
        <v>4</v>
      </c>
      <c r="Q90" s="3" t="str">
        <f t="shared" si="1"/>
        <v>Average</v>
      </c>
    </row>
    <row r="91" spans="1:17" customFormat="1" hidden="1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s="1" t="s">
        <v>132</v>
      </c>
      <c r="J91">
        <v>2.4</v>
      </c>
      <c r="K91">
        <v>0</v>
      </c>
      <c r="L91">
        <v>0.86</v>
      </c>
      <c r="M91" t="s">
        <v>79</v>
      </c>
      <c r="N91" t="s">
        <v>23</v>
      </c>
      <c r="O91">
        <v>9</v>
      </c>
      <c r="P91">
        <v>3</v>
      </c>
      <c r="Q91" t="str">
        <f t="shared" si="1"/>
        <v>Average</v>
      </c>
    </row>
    <row r="92" spans="1:17" customFormat="1" hidden="1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s="1" t="s">
        <v>30</v>
      </c>
      <c r="J92">
        <v>1.6</v>
      </c>
      <c r="K92" t="s">
        <v>78</v>
      </c>
      <c r="L92">
        <v>0.97</v>
      </c>
      <c r="M92" t="s">
        <v>53</v>
      </c>
      <c r="N92" t="s">
        <v>31</v>
      </c>
      <c r="O92">
        <v>4</v>
      </c>
      <c r="P92">
        <v>2</v>
      </c>
      <c r="Q92" t="str">
        <f t="shared" si="1"/>
        <v>Average</v>
      </c>
    </row>
    <row r="93" spans="1:17" x14ac:dyDescent="0.25">
      <c r="A93" s="3" t="s">
        <v>277</v>
      </c>
      <c r="B93" s="3" t="s">
        <v>278</v>
      </c>
      <c r="C93" s="3" t="s">
        <v>88</v>
      </c>
      <c r="D93" s="3">
        <v>57</v>
      </c>
      <c r="E93" s="3" t="s">
        <v>139</v>
      </c>
      <c r="F93" s="3" t="s">
        <v>28</v>
      </c>
      <c r="G93" s="3" t="s">
        <v>89</v>
      </c>
      <c r="H93" s="3">
        <v>18</v>
      </c>
      <c r="I93" s="4">
        <v>50</v>
      </c>
      <c r="J93" s="3">
        <v>2.4</v>
      </c>
      <c r="K93" s="3">
        <v>1</v>
      </c>
      <c r="L93" s="3">
        <v>0.63</v>
      </c>
      <c r="M93" s="3" t="s">
        <v>53</v>
      </c>
      <c r="N93" s="3" t="s">
        <v>38</v>
      </c>
      <c r="O93" s="3">
        <v>11</v>
      </c>
      <c r="P93" s="3">
        <v>9</v>
      </c>
      <c r="Q93" s="3" t="str">
        <f t="shared" si="1"/>
        <v>Average</v>
      </c>
    </row>
    <row r="94" spans="1:17" customFormat="1" hidden="1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s="1" t="s">
        <v>30</v>
      </c>
      <c r="K94" t="s">
        <v>85</v>
      </c>
      <c r="L94">
        <v>0.97</v>
      </c>
      <c r="M94" t="s">
        <v>74</v>
      </c>
      <c r="N94" t="s">
        <v>67</v>
      </c>
      <c r="O94">
        <v>20</v>
      </c>
      <c r="P94">
        <v>10</v>
      </c>
      <c r="Q94" t="str">
        <f t="shared" si="1"/>
        <v>Average</v>
      </c>
    </row>
    <row r="95" spans="1:17" customFormat="1" hidden="1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s="1" t="s">
        <v>120</v>
      </c>
      <c r="J95">
        <v>3.8</v>
      </c>
      <c r="K95" t="s">
        <v>78</v>
      </c>
      <c r="L95">
        <v>0.81</v>
      </c>
      <c r="M95" t="s">
        <v>53</v>
      </c>
      <c r="N95" t="s">
        <v>38</v>
      </c>
      <c r="O95">
        <v>3</v>
      </c>
      <c r="P95">
        <v>2</v>
      </c>
      <c r="Q95" t="str">
        <f t="shared" si="1"/>
        <v>GOOD</v>
      </c>
    </row>
    <row r="96" spans="1:17" x14ac:dyDescent="0.25">
      <c r="A96" s="3" t="s">
        <v>283</v>
      </c>
      <c r="B96" s="3" t="s">
        <v>284</v>
      </c>
      <c r="C96" s="3" t="s">
        <v>18</v>
      </c>
      <c r="D96" s="3">
        <v>54</v>
      </c>
      <c r="E96" s="3" t="s">
        <v>186</v>
      </c>
      <c r="F96" s="3" t="s">
        <v>187</v>
      </c>
      <c r="G96" s="3" t="s">
        <v>125</v>
      </c>
      <c r="H96" s="3">
        <v>17</v>
      </c>
      <c r="I96" s="4">
        <v>20</v>
      </c>
      <c r="J96" s="3">
        <v>1.7</v>
      </c>
      <c r="K96" s="3">
        <v>0</v>
      </c>
      <c r="L96" s="3">
        <v>0.69</v>
      </c>
      <c r="M96" s="3" t="s">
        <v>22</v>
      </c>
      <c r="N96" s="3" t="s">
        <v>23</v>
      </c>
      <c r="O96" s="3">
        <v>17</v>
      </c>
      <c r="P96" s="3">
        <v>15</v>
      </c>
      <c r="Q96" s="3" t="str">
        <f t="shared" si="1"/>
        <v>Average</v>
      </c>
    </row>
    <row r="97" spans="1:17" x14ac:dyDescent="0.25">
      <c r="A97" s="3" t="s">
        <v>285</v>
      </c>
      <c r="B97" s="3" t="s">
        <v>286</v>
      </c>
      <c r="C97" s="3" t="s">
        <v>26</v>
      </c>
      <c r="D97" s="3">
        <v>36</v>
      </c>
      <c r="E97" s="3" t="s">
        <v>19</v>
      </c>
      <c r="F97" s="3" t="s">
        <v>20</v>
      </c>
      <c r="G97" s="3" t="s">
        <v>84</v>
      </c>
      <c r="H97" s="3">
        <v>0</v>
      </c>
      <c r="I97" s="4">
        <v>20</v>
      </c>
      <c r="J97" s="3">
        <v>1.3</v>
      </c>
      <c r="K97" s="3" t="s">
        <v>85</v>
      </c>
      <c r="L97" s="3">
        <v>0.64</v>
      </c>
      <c r="M97" s="3" t="s">
        <v>53</v>
      </c>
      <c r="N97" s="3" t="s">
        <v>67</v>
      </c>
      <c r="O97" s="3">
        <v>2</v>
      </c>
      <c r="P97" s="3">
        <v>2</v>
      </c>
      <c r="Q97" s="3" t="str">
        <f t="shared" si="1"/>
        <v>Average</v>
      </c>
    </row>
    <row r="98" spans="1:17" x14ac:dyDescent="0.25">
      <c r="A98" s="3" t="s">
        <v>287</v>
      </c>
      <c r="B98" s="3" t="s">
        <v>288</v>
      </c>
      <c r="C98" s="3" t="s">
        <v>18</v>
      </c>
      <c r="D98" s="3">
        <v>49</v>
      </c>
      <c r="E98" s="3" t="s">
        <v>201</v>
      </c>
      <c r="F98" s="3" t="s">
        <v>83</v>
      </c>
      <c r="G98" s="3" t="s">
        <v>89</v>
      </c>
      <c r="H98" s="3">
        <v>25</v>
      </c>
      <c r="I98" s="4">
        <v>50</v>
      </c>
      <c r="J98" s="3">
        <v>5</v>
      </c>
      <c r="K98" s="3" t="s">
        <v>37</v>
      </c>
      <c r="L98" s="3">
        <v>0.77</v>
      </c>
      <c r="M98" s="3" t="s">
        <v>53</v>
      </c>
      <c r="N98" s="3" t="s">
        <v>38</v>
      </c>
      <c r="O98" s="3">
        <v>14</v>
      </c>
      <c r="P98" s="3">
        <v>8</v>
      </c>
      <c r="Q98" s="3" t="str">
        <f t="shared" si="1"/>
        <v>GOOD</v>
      </c>
    </row>
    <row r="99" spans="1:17" x14ac:dyDescent="0.25">
      <c r="A99" s="3" t="s">
        <v>289</v>
      </c>
      <c r="B99" s="3" t="s">
        <v>290</v>
      </c>
      <c r="C99" s="3" t="s">
        <v>108</v>
      </c>
      <c r="D99" s="3">
        <v>37</v>
      </c>
      <c r="E99" s="3" t="s">
        <v>66</v>
      </c>
      <c r="F99" s="3" t="s">
        <v>28</v>
      </c>
      <c r="G99" s="3" t="s">
        <v>21</v>
      </c>
      <c r="H99" s="3">
        <v>17</v>
      </c>
      <c r="I99" s="4">
        <v>20</v>
      </c>
      <c r="J99" s="3">
        <v>3.3</v>
      </c>
      <c r="K99" s="3">
        <v>0</v>
      </c>
      <c r="L99" s="3">
        <v>96</v>
      </c>
      <c r="M99" s="3" t="s">
        <v>22</v>
      </c>
      <c r="N99" s="3" t="s">
        <v>31</v>
      </c>
      <c r="O99" s="3">
        <v>20</v>
      </c>
      <c r="P99" s="3">
        <v>11</v>
      </c>
      <c r="Q99" s="3" t="str">
        <f t="shared" si="1"/>
        <v>Average</v>
      </c>
    </row>
    <row r="100" spans="1:17" customFormat="1" hidden="1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s="1" t="s">
        <v>132</v>
      </c>
      <c r="J100">
        <v>1.1000000000000001</v>
      </c>
      <c r="K100" t="s">
        <v>170</v>
      </c>
      <c r="L100">
        <v>0.74</v>
      </c>
      <c r="M100" t="s">
        <v>79</v>
      </c>
      <c r="N100" t="s">
        <v>31</v>
      </c>
      <c r="O100">
        <v>2</v>
      </c>
      <c r="P100">
        <v>1</v>
      </c>
      <c r="Q100" t="str">
        <f t="shared" si="1"/>
        <v>Average</v>
      </c>
    </row>
    <row r="101" spans="1:17" x14ac:dyDescent="0.25">
      <c r="A101" s="3" t="s">
        <v>293</v>
      </c>
      <c r="B101" s="3" t="s">
        <v>294</v>
      </c>
      <c r="C101" s="3" t="s">
        <v>56</v>
      </c>
      <c r="D101" s="3">
        <v>32</v>
      </c>
      <c r="E101" s="3" t="s">
        <v>150</v>
      </c>
      <c r="F101" s="3" t="s">
        <v>151</v>
      </c>
      <c r="G101" s="3" t="s">
        <v>84</v>
      </c>
      <c r="H101" s="3">
        <v>10</v>
      </c>
      <c r="I101" s="4">
        <v>50</v>
      </c>
      <c r="J101" s="3">
        <v>1.2</v>
      </c>
      <c r="K101" s="3" t="b">
        <v>0</v>
      </c>
      <c r="L101" s="3">
        <v>0.89</v>
      </c>
      <c r="M101" s="3" t="s">
        <v>79</v>
      </c>
      <c r="N101" s="3" t="s">
        <v>38</v>
      </c>
      <c r="O101" s="3">
        <v>8</v>
      </c>
      <c r="P101" s="3">
        <v>12</v>
      </c>
      <c r="Q101" s="3" t="str">
        <f t="shared" si="1"/>
        <v>Average</v>
      </c>
    </row>
    <row r="102" spans="1:17" customFormat="1" hidden="1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I102" s="1"/>
      <c r="J102">
        <v>2</v>
      </c>
      <c r="K102">
        <v>1</v>
      </c>
      <c r="L102">
        <v>0.64</v>
      </c>
      <c r="M102" t="s">
        <v>22</v>
      </c>
      <c r="N102" t="s">
        <v>31</v>
      </c>
      <c r="O102">
        <v>4</v>
      </c>
      <c r="P102">
        <v>1</v>
      </c>
      <c r="Q102" t="str">
        <f t="shared" si="1"/>
        <v>Average</v>
      </c>
    </row>
    <row r="103" spans="1:17" customFormat="1" hidden="1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s="1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  <c r="Q103" t="str">
        <f t="shared" si="1"/>
        <v>GOOD</v>
      </c>
    </row>
    <row r="104" spans="1:17" x14ac:dyDescent="0.25">
      <c r="A104" s="3" t="s">
        <v>299</v>
      </c>
      <c r="B104" s="3" t="s">
        <v>300</v>
      </c>
      <c r="C104" s="3" t="s">
        <v>18</v>
      </c>
      <c r="D104" s="3">
        <v>50</v>
      </c>
      <c r="E104" s="3" t="s">
        <v>135</v>
      </c>
      <c r="F104" s="3" t="s">
        <v>136</v>
      </c>
      <c r="G104" s="3" t="s">
        <v>100</v>
      </c>
      <c r="H104" s="3">
        <v>30</v>
      </c>
      <c r="I104" s="4">
        <v>100</v>
      </c>
      <c r="J104" s="3">
        <v>3</v>
      </c>
      <c r="K104" s="3">
        <v>1</v>
      </c>
      <c r="L104" s="3">
        <v>0.73</v>
      </c>
      <c r="M104" s="3" t="s">
        <v>53</v>
      </c>
      <c r="N104" s="3" t="s">
        <v>31</v>
      </c>
      <c r="O104" s="3">
        <v>13</v>
      </c>
      <c r="P104" s="3">
        <v>6</v>
      </c>
      <c r="Q104" s="3" t="str">
        <f t="shared" si="1"/>
        <v>Average</v>
      </c>
    </row>
    <row r="105" spans="1:17" customFormat="1" hidden="1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s="1" t="s">
        <v>73</v>
      </c>
      <c r="J105">
        <v>4.9000000000000004</v>
      </c>
      <c r="K105" t="s">
        <v>78</v>
      </c>
      <c r="L105">
        <v>0.68</v>
      </c>
      <c r="M105" t="s">
        <v>22</v>
      </c>
      <c r="N105" t="s">
        <v>67</v>
      </c>
      <c r="O105">
        <v>2</v>
      </c>
      <c r="P105">
        <v>3</v>
      </c>
      <c r="Q105" t="str">
        <f t="shared" si="1"/>
        <v>GOOD</v>
      </c>
    </row>
    <row r="106" spans="1:17" customFormat="1" hidden="1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s="1" t="s">
        <v>52</v>
      </c>
      <c r="K106" t="s">
        <v>170</v>
      </c>
      <c r="L106">
        <v>0.88</v>
      </c>
      <c r="M106" t="s">
        <v>53</v>
      </c>
      <c r="N106" t="s">
        <v>31</v>
      </c>
      <c r="O106">
        <v>2</v>
      </c>
      <c r="P106">
        <v>4</v>
      </c>
      <c r="Q106" t="str">
        <f t="shared" si="1"/>
        <v>Average</v>
      </c>
    </row>
    <row r="107" spans="1:17" customFormat="1" hidden="1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s="1" t="s">
        <v>43</v>
      </c>
      <c r="J107">
        <v>2.5</v>
      </c>
      <c r="K107">
        <v>0</v>
      </c>
      <c r="L107">
        <v>0.77</v>
      </c>
      <c r="M107" t="s">
        <v>74</v>
      </c>
      <c r="N107" t="s">
        <v>31</v>
      </c>
      <c r="O107">
        <v>13</v>
      </c>
      <c r="P107">
        <v>10</v>
      </c>
      <c r="Q107" t="str">
        <f t="shared" si="1"/>
        <v>Average</v>
      </c>
    </row>
    <row r="108" spans="1:17" customFormat="1" hidden="1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I108" s="1"/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  <c r="Q108" t="str">
        <f t="shared" si="1"/>
        <v>Average</v>
      </c>
    </row>
    <row r="109" spans="1:17" x14ac:dyDescent="0.25">
      <c r="A109" s="3" t="s">
        <v>309</v>
      </c>
      <c r="B109" s="3" t="s">
        <v>310</v>
      </c>
      <c r="C109" s="3" t="s">
        <v>41</v>
      </c>
      <c r="D109" s="3">
        <v>45</v>
      </c>
      <c r="E109" s="3" t="s">
        <v>57</v>
      </c>
      <c r="F109" s="3" t="s">
        <v>58</v>
      </c>
      <c r="G109" s="3" t="s">
        <v>29</v>
      </c>
      <c r="H109" s="3">
        <v>19</v>
      </c>
      <c r="I109" s="4">
        <v>40</v>
      </c>
      <c r="K109" s="3">
        <v>1</v>
      </c>
      <c r="L109" s="3">
        <v>0.72</v>
      </c>
      <c r="M109" s="3" t="s">
        <v>22</v>
      </c>
      <c r="N109" s="3" t="s">
        <v>67</v>
      </c>
      <c r="O109" s="3">
        <v>12</v>
      </c>
      <c r="P109" s="3">
        <v>6</v>
      </c>
      <c r="Q109" s="3" t="str">
        <f t="shared" si="1"/>
        <v>Average</v>
      </c>
    </row>
    <row r="110" spans="1:17" x14ac:dyDescent="0.25">
      <c r="A110" s="3" t="s">
        <v>311</v>
      </c>
      <c r="B110" s="3" t="s">
        <v>312</v>
      </c>
      <c r="C110" s="3" t="s">
        <v>41</v>
      </c>
      <c r="D110" s="3">
        <v>23</v>
      </c>
      <c r="E110" s="3" t="s">
        <v>66</v>
      </c>
      <c r="F110" s="3" t="s">
        <v>28</v>
      </c>
      <c r="G110" s="3" t="s">
        <v>42</v>
      </c>
      <c r="H110" s="3">
        <v>0</v>
      </c>
      <c r="I110" s="4">
        <v>20</v>
      </c>
      <c r="J110" s="3">
        <v>4.7</v>
      </c>
      <c r="K110" s="3" t="s">
        <v>85</v>
      </c>
      <c r="L110" s="3">
        <v>0.6</v>
      </c>
      <c r="M110" s="3" t="s">
        <v>53</v>
      </c>
      <c r="N110" s="3" t="s">
        <v>38</v>
      </c>
      <c r="O110" s="3">
        <v>2</v>
      </c>
      <c r="P110" s="3">
        <v>1</v>
      </c>
      <c r="Q110" s="3" t="str">
        <f t="shared" si="1"/>
        <v>GOOD</v>
      </c>
    </row>
    <row r="111" spans="1:17" customFormat="1" hidden="1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s="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  <c r="Q111" t="str">
        <f t="shared" si="1"/>
        <v>GOOD</v>
      </c>
    </row>
    <row r="112" spans="1:17" x14ac:dyDescent="0.25">
      <c r="A112" s="3" t="s">
        <v>315</v>
      </c>
      <c r="B112" s="3" t="s">
        <v>316</v>
      </c>
      <c r="C112" s="3" t="s">
        <v>70</v>
      </c>
      <c r="D112" s="3">
        <v>27</v>
      </c>
      <c r="E112" s="3" t="s">
        <v>82</v>
      </c>
      <c r="F112" s="3" t="s">
        <v>83</v>
      </c>
      <c r="G112" s="3" t="s">
        <v>84</v>
      </c>
      <c r="H112" s="3">
        <v>5</v>
      </c>
      <c r="I112" s="4">
        <v>30</v>
      </c>
      <c r="K112" s="3" t="s">
        <v>37</v>
      </c>
      <c r="L112" s="3">
        <v>0.92</v>
      </c>
      <c r="M112" s="3" t="s">
        <v>74</v>
      </c>
      <c r="N112" s="3" t="s">
        <v>31</v>
      </c>
      <c r="O112" s="3">
        <v>3</v>
      </c>
      <c r="P112" s="3">
        <v>3</v>
      </c>
      <c r="Q112" s="3" t="str">
        <f t="shared" si="1"/>
        <v>Average</v>
      </c>
    </row>
    <row r="113" spans="1:17" customFormat="1" hidden="1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s="1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  <c r="Q113" t="str">
        <f t="shared" si="1"/>
        <v>Average</v>
      </c>
    </row>
    <row r="114" spans="1:17" customFormat="1" hidden="1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s="1" t="s">
        <v>60</v>
      </c>
      <c r="J114">
        <v>2.5</v>
      </c>
      <c r="L114">
        <v>0.92</v>
      </c>
      <c r="M114" t="s">
        <v>74</v>
      </c>
      <c r="N114" t="s">
        <v>31</v>
      </c>
      <c r="O114">
        <v>13</v>
      </c>
      <c r="P114">
        <v>1</v>
      </c>
      <c r="Q114" t="str">
        <f t="shared" si="1"/>
        <v>Average</v>
      </c>
    </row>
    <row r="115" spans="1:17" customFormat="1" hidden="1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s="1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  <c r="Q115" t="str">
        <f t="shared" si="1"/>
        <v>Average</v>
      </c>
    </row>
    <row r="116" spans="1:17" customFormat="1" hidden="1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s="1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  <c r="Q116" t="str">
        <f t="shared" si="1"/>
        <v>GOOD</v>
      </c>
    </row>
    <row r="117" spans="1:17" customFormat="1" hidden="1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s="1" t="s">
        <v>52</v>
      </c>
      <c r="K117">
        <v>0</v>
      </c>
      <c r="L117">
        <v>0.86</v>
      </c>
      <c r="M117" t="s">
        <v>79</v>
      </c>
      <c r="N117" t="s">
        <v>67</v>
      </c>
      <c r="O117">
        <v>3</v>
      </c>
      <c r="P117">
        <v>1</v>
      </c>
      <c r="Q117" t="str">
        <f t="shared" si="1"/>
        <v>Average</v>
      </c>
    </row>
    <row r="118" spans="1:17" customFormat="1" hidden="1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s="1" t="s">
        <v>63</v>
      </c>
      <c r="J118">
        <v>3.4</v>
      </c>
      <c r="K118">
        <v>1</v>
      </c>
      <c r="L118">
        <v>0.68</v>
      </c>
      <c r="M118" t="s">
        <v>22</v>
      </c>
      <c r="N118" t="s">
        <v>31</v>
      </c>
      <c r="O118">
        <v>1</v>
      </c>
      <c r="P118">
        <v>4</v>
      </c>
      <c r="Q118" t="str">
        <f t="shared" si="1"/>
        <v>Average</v>
      </c>
    </row>
    <row r="119" spans="1:17" customFormat="1" hidden="1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s="1" t="s">
        <v>325</v>
      </c>
      <c r="J119">
        <v>3.2</v>
      </c>
      <c r="K119">
        <v>1</v>
      </c>
      <c r="L119">
        <v>0.62</v>
      </c>
      <c r="M119" t="s">
        <v>79</v>
      </c>
      <c r="N119" t="s">
        <v>31</v>
      </c>
      <c r="O119">
        <v>9</v>
      </c>
      <c r="P119">
        <v>3</v>
      </c>
      <c r="Q119" t="str">
        <f t="shared" si="1"/>
        <v>Average</v>
      </c>
    </row>
    <row r="120" spans="1:17" x14ac:dyDescent="0.25">
      <c r="A120" s="3" t="s">
        <v>332</v>
      </c>
      <c r="B120" s="3" t="s">
        <v>333</v>
      </c>
      <c r="C120" s="3" t="s">
        <v>41</v>
      </c>
      <c r="D120" s="3">
        <v>33</v>
      </c>
      <c r="E120" s="3"/>
      <c r="F120" s="3" t="s">
        <v>58</v>
      </c>
      <c r="G120" s="3" t="s">
        <v>125</v>
      </c>
      <c r="H120" s="3">
        <v>13</v>
      </c>
      <c r="I120" s="4">
        <v>20</v>
      </c>
      <c r="J120" s="3">
        <v>3.2</v>
      </c>
      <c r="K120" s="3" t="b">
        <v>0</v>
      </c>
      <c r="M120" s="3" t="s">
        <v>53</v>
      </c>
      <c r="N120" s="3" t="s">
        <v>67</v>
      </c>
      <c r="O120" s="3">
        <v>8</v>
      </c>
      <c r="P120" s="3">
        <v>9</v>
      </c>
      <c r="Q120" s="3" t="str">
        <f t="shared" si="1"/>
        <v>Average</v>
      </c>
    </row>
    <row r="121" spans="1:17" x14ac:dyDescent="0.25">
      <c r="A121" s="3" t="s">
        <v>334</v>
      </c>
      <c r="B121" s="3" t="s">
        <v>335</v>
      </c>
      <c r="C121" s="3" t="s">
        <v>34</v>
      </c>
      <c r="D121" s="3">
        <v>29</v>
      </c>
      <c r="E121" s="3" t="s">
        <v>123</v>
      </c>
      <c r="F121" s="3" t="s">
        <v>124</v>
      </c>
      <c r="G121" s="3" t="s">
        <v>59</v>
      </c>
      <c r="H121" s="3">
        <v>4</v>
      </c>
      <c r="I121" s="4">
        <v>30</v>
      </c>
      <c r="J121" s="3">
        <v>0</v>
      </c>
      <c r="K121" s="3" t="s">
        <v>85</v>
      </c>
      <c r="L121" s="3">
        <v>0.82</v>
      </c>
      <c r="M121" s="3" t="s">
        <v>53</v>
      </c>
      <c r="N121" s="3" t="s">
        <v>23</v>
      </c>
      <c r="O121" s="3">
        <v>5</v>
      </c>
      <c r="P121" s="3">
        <v>3</v>
      </c>
      <c r="Q121" s="3" t="str">
        <f t="shared" si="1"/>
        <v>Average</v>
      </c>
    </row>
    <row r="122" spans="1:17" x14ac:dyDescent="0.25">
      <c r="A122" s="3" t="s">
        <v>336</v>
      </c>
      <c r="B122" s="3" t="s">
        <v>337</v>
      </c>
      <c r="C122" s="3" t="s">
        <v>46</v>
      </c>
      <c r="D122" s="3">
        <v>36</v>
      </c>
      <c r="E122" s="3" t="s">
        <v>57</v>
      </c>
      <c r="F122" s="3" t="s">
        <v>58</v>
      </c>
      <c r="G122" s="3" t="s">
        <v>84</v>
      </c>
      <c r="H122" s="3">
        <v>13</v>
      </c>
      <c r="I122" s="4">
        <v>75</v>
      </c>
      <c r="K122" s="3">
        <v>1</v>
      </c>
      <c r="M122" s="3" t="s">
        <v>53</v>
      </c>
      <c r="N122" s="3" t="s">
        <v>67</v>
      </c>
      <c r="O122" s="3">
        <v>14</v>
      </c>
      <c r="P122" s="3">
        <v>4</v>
      </c>
      <c r="Q122" s="3" t="str">
        <f t="shared" si="1"/>
        <v>Average</v>
      </c>
    </row>
    <row r="123" spans="1:17" customFormat="1" hidden="1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s="1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  <c r="Q123" t="str">
        <f t="shared" si="1"/>
        <v>GOOD</v>
      </c>
    </row>
    <row r="124" spans="1:17" customFormat="1" hidden="1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s="1" t="s">
        <v>109</v>
      </c>
      <c r="J124">
        <v>1</v>
      </c>
      <c r="K124" t="s">
        <v>85</v>
      </c>
      <c r="L124">
        <v>0.64</v>
      </c>
      <c r="M124" t="s">
        <v>79</v>
      </c>
      <c r="N124" t="s">
        <v>67</v>
      </c>
      <c r="O124">
        <v>14</v>
      </c>
      <c r="P124">
        <v>5</v>
      </c>
      <c r="Q124" t="str">
        <f t="shared" si="1"/>
        <v>Average</v>
      </c>
    </row>
    <row r="125" spans="1:17" customFormat="1" hidden="1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s="1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  <c r="Q125" t="str">
        <f t="shared" si="1"/>
        <v>Average</v>
      </c>
    </row>
    <row r="126" spans="1:17" customFormat="1" hidden="1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I126" s="1"/>
      <c r="J126">
        <v>1.7</v>
      </c>
      <c r="K126" t="s">
        <v>37</v>
      </c>
      <c r="L126">
        <v>0.96</v>
      </c>
      <c r="M126" t="s">
        <v>22</v>
      </c>
      <c r="N126" t="s">
        <v>67</v>
      </c>
      <c r="O126">
        <v>7</v>
      </c>
      <c r="P126">
        <v>9</v>
      </c>
      <c r="Q126" t="str">
        <f t="shared" si="1"/>
        <v>Average</v>
      </c>
    </row>
    <row r="127" spans="1:17" customFormat="1" hidden="1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I127" s="1"/>
      <c r="J127">
        <v>5</v>
      </c>
      <c r="K127" t="s">
        <v>85</v>
      </c>
      <c r="L127">
        <v>0.83</v>
      </c>
      <c r="M127" t="s">
        <v>74</v>
      </c>
      <c r="N127" t="s">
        <v>23</v>
      </c>
      <c r="O127">
        <v>11</v>
      </c>
      <c r="P127">
        <v>5</v>
      </c>
      <c r="Q127" t="str">
        <f t="shared" si="1"/>
        <v>GOOD</v>
      </c>
    </row>
    <row r="128" spans="1:17" customFormat="1" hidden="1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s="1" t="s">
        <v>240</v>
      </c>
      <c r="J128">
        <v>1.7</v>
      </c>
      <c r="K128" t="s">
        <v>78</v>
      </c>
      <c r="L128">
        <v>0.64</v>
      </c>
      <c r="M128" t="s">
        <v>79</v>
      </c>
      <c r="N128" t="s">
        <v>23</v>
      </c>
      <c r="O128">
        <v>14</v>
      </c>
      <c r="P128">
        <v>9</v>
      </c>
      <c r="Q128" t="str">
        <f t="shared" si="1"/>
        <v>Average</v>
      </c>
    </row>
    <row r="129" spans="1:17" x14ac:dyDescent="0.25">
      <c r="A129" s="3" t="s">
        <v>350</v>
      </c>
      <c r="B129" s="3" t="s">
        <v>351</v>
      </c>
      <c r="C129" s="3" t="s">
        <v>34</v>
      </c>
      <c r="D129" s="3">
        <v>31</v>
      </c>
      <c r="E129" s="3" t="s">
        <v>150</v>
      </c>
      <c r="F129" s="3" t="s">
        <v>151</v>
      </c>
      <c r="G129" s="3" t="s">
        <v>36</v>
      </c>
      <c r="H129" s="3">
        <v>8</v>
      </c>
      <c r="I129" s="4">
        <v>40</v>
      </c>
      <c r="J129" s="3">
        <v>4.4000000000000004</v>
      </c>
      <c r="K129" s="3">
        <v>0</v>
      </c>
      <c r="L129" s="3">
        <v>0.7</v>
      </c>
      <c r="M129" s="3" t="s">
        <v>53</v>
      </c>
      <c r="N129" s="3" t="s">
        <v>67</v>
      </c>
      <c r="O129" s="3">
        <v>15</v>
      </c>
      <c r="P129" s="3">
        <v>5</v>
      </c>
      <c r="Q129" s="3" t="str">
        <f t="shared" si="1"/>
        <v>GOOD</v>
      </c>
    </row>
    <row r="130" spans="1:17" x14ac:dyDescent="0.25">
      <c r="A130" s="3" t="s">
        <v>352</v>
      </c>
      <c r="B130" s="3" t="s">
        <v>353</v>
      </c>
      <c r="C130" s="3" t="s">
        <v>56</v>
      </c>
      <c r="D130" s="3">
        <v>58</v>
      </c>
      <c r="E130" s="3" t="s">
        <v>186</v>
      </c>
      <c r="F130" s="3" t="s">
        <v>187</v>
      </c>
      <c r="G130" s="3" t="s">
        <v>125</v>
      </c>
      <c r="H130" s="3">
        <v>9</v>
      </c>
      <c r="I130" s="4">
        <v>20</v>
      </c>
      <c r="J130" s="3">
        <v>0</v>
      </c>
      <c r="K130" s="3" t="s">
        <v>37</v>
      </c>
      <c r="L130" s="3">
        <v>0.65</v>
      </c>
      <c r="M130" s="3" t="s">
        <v>79</v>
      </c>
      <c r="N130" s="3" t="s">
        <v>67</v>
      </c>
      <c r="O130" s="3">
        <v>15</v>
      </c>
      <c r="P130" s="3">
        <v>7</v>
      </c>
      <c r="Q130" s="3" t="str">
        <f t="shared" ref="Q130:Q193" si="2">IF(J130&lt;3.5,"Average","GOOD")</f>
        <v>Average</v>
      </c>
    </row>
    <row r="131" spans="1:17" x14ac:dyDescent="0.25">
      <c r="A131" s="3" t="s">
        <v>354</v>
      </c>
      <c r="B131" s="3" t="s">
        <v>355</v>
      </c>
      <c r="C131" s="3" t="s">
        <v>108</v>
      </c>
      <c r="D131" s="3">
        <v>47</v>
      </c>
      <c r="E131" s="3" t="s">
        <v>146</v>
      </c>
      <c r="F131" s="3" t="s">
        <v>147</v>
      </c>
      <c r="G131" s="3" t="s">
        <v>125</v>
      </c>
      <c r="H131" s="3">
        <v>13</v>
      </c>
      <c r="I131" s="4">
        <v>40</v>
      </c>
      <c r="J131" s="3">
        <v>3.4</v>
      </c>
      <c r="L131" s="3">
        <v>0.67</v>
      </c>
      <c r="M131" s="3" t="s">
        <v>74</v>
      </c>
      <c r="N131" s="3" t="s">
        <v>38</v>
      </c>
      <c r="O131" s="3">
        <v>7</v>
      </c>
      <c r="P131" s="3">
        <v>3</v>
      </c>
      <c r="Q131" s="3" t="str">
        <f t="shared" si="2"/>
        <v>Average</v>
      </c>
    </row>
    <row r="132" spans="1:17" customFormat="1" hidden="1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s="1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  <c r="Q132" t="str">
        <f t="shared" si="2"/>
        <v>Average</v>
      </c>
    </row>
    <row r="133" spans="1:17" x14ac:dyDescent="0.25">
      <c r="A133" s="3" t="s">
        <v>358</v>
      </c>
      <c r="B133" s="3" t="s">
        <v>359</v>
      </c>
      <c r="C133" s="3" t="s">
        <v>26</v>
      </c>
      <c r="D133" s="3">
        <v>57</v>
      </c>
      <c r="E133" s="3" t="s">
        <v>146</v>
      </c>
      <c r="F133" s="3" t="s">
        <v>147</v>
      </c>
      <c r="G133" s="3" t="s">
        <v>125</v>
      </c>
      <c r="H133" s="3">
        <v>0</v>
      </c>
      <c r="I133" s="4">
        <v>50</v>
      </c>
      <c r="J133" s="3">
        <v>1.6</v>
      </c>
      <c r="K133" s="3" t="s">
        <v>37</v>
      </c>
      <c r="L133" s="3">
        <v>0.6</v>
      </c>
      <c r="M133" s="3" t="s">
        <v>79</v>
      </c>
      <c r="N133" s="3" t="s">
        <v>23</v>
      </c>
      <c r="O133" s="3">
        <v>3</v>
      </c>
      <c r="P133" s="3">
        <v>2</v>
      </c>
      <c r="Q133" s="3" t="str">
        <f t="shared" si="2"/>
        <v>Average</v>
      </c>
    </row>
    <row r="134" spans="1:17" x14ac:dyDescent="0.25">
      <c r="A134" s="3" t="s">
        <v>360</v>
      </c>
      <c r="B134" s="3" t="s">
        <v>361</v>
      </c>
      <c r="C134" s="3" t="s">
        <v>70</v>
      </c>
      <c r="D134" s="3">
        <v>50</v>
      </c>
      <c r="E134" s="3" t="s">
        <v>104</v>
      </c>
      <c r="F134" s="3" t="s">
        <v>105</v>
      </c>
      <c r="G134" s="3" t="s">
        <v>42</v>
      </c>
      <c r="H134" s="3">
        <v>22</v>
      </c>
      <c r="I134" s="4">
        <v>100</v>
      </c>
      <c r="J134" s="3">
        <v>4.0999999999999996</v>
      </c>
      <c r="K134" s="3" t="s">
        <v>37</v>
      </c>
      <c r="L134" s="3">
        <v>0.62</v>
      </c>
      <c r="M134" s="3" t="s">
        <v>79</v>
      </c>
      <c r="N134" s="3" t="s">
        <v>38</v>
      </c>
      <c r="O134" s="3">
        <v>17</v>
      </c>
      <c r="P134" s="3">
        <v>6</v>
      </c>
      <c r="Q134" s="3" t="str">
        <f t="shared" si="2"/>
        <v>GOOD</v>
      </c>
    </row>
    <row r="135" spans="1:17" customFormat="1" hidden="1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I135" s="1"/>
      <c r="J135">
        <v>2.5</v>
      </c>
      <c r="L135">
        <v>0.7</v>
      </c>
      <c r="M135" t="s">
        <v>79</v>
      </c>
      <c r="N135" t="s">
        <v>67</v>
      </c>
      <c r="O135">
        <v>2</v>
      </c>
      <c r="P135">
        <v>1</v>
      </c>
      <c r="Q135" t="str">
        <f t="shared" si="2"/>
        <v>Average</v>
      </c>
    </row>
    <row r="136" spans="1:17" customFormat="1" hidden="1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s="1" t="s">
        <v>240</v>
      </c>
      <c r="J136">
        <v>4</v>
      </c>
      <c r="K136" t="s">
        <v>85</v>
      </c>
      <c r="L136">
        <v>0.75</v>
      </c>
      <c r="M136" t="s">
        <v>22</v>
      </c>
      <c r="N136" t="s">
        <v>31</v>
      </c>
      <c r="O136">
        <v>16</v>
      </c>
      <c r="P136">
        <v>4</v>
      </c>
      <c r="Q136" t="str">
        <f t="shared" si="2"/>
        <v>GOOD</v>
      </c>
    </row>
    <row r="137" spans="1:17" x14ac:dyDescent="0.25">
      <c r="A137" s="3" t="s">
        <v>366</v>
      </c>
      <c r="B137" s="3" t="s">
        <v>367</v>
      </c>
      <c r="C137" s="3" t="s">
        <v>70</v>
      </c>
      <c r="D137" s="3">
        <v>60</v>
      </c>
      <c r="E137" s="3" t="s">
        <v>164</v>
      </c>
      <c r="F137" s="3" t="s">
        <v>165</v>
      </c>
      <c r="G137" s="3" t="s">
        <v>89</v>
      </c>
      <c r="H137" s="3">
        <v>39</v>
      </c>
      <c r="I137" s="4">
        <v>75</v>
      </c>
      <c r="J137" s="3">
        <v>1.4</v>
      </c>
      <c r="K137" s="3" t="s">
        <v>170</v>
      </c>
      <c r="L137" s="3">
        <v>0.7</v>
      </c>
      <c r="M137" s="3" t="s">
        <v>53</v>
      </c>
      <c r="N137" s="3" t="s">
        <v>38</v>
      </c>
      <c r="O137" s="3">
        <v>10</v>
      </c>
      <c r="P137" s="3">
        <v>3</v>
      </c>
      <c r="Q137" s="3" t="str">
        <f t="shared" si="2"/>
        <v>Average</v>
      </c>
    </row>
    <row r="138" spans="1:17" customFormat="1" hidden="1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s="1" t="s">
        <v>109</v>
      </c>
      <c r="K138">
        <v>1</v>
      </c>
      <c r="L138">
        <v>0.84</v>
      </c>
      <c r="M138" t="s">
        <v>79</v>
      </c>
      <c r="N138" t="s">
        <v>23</v>
      </c>
      <c r="O138">
        <v>1</v>
      </c>
      <c r="P138">
        <v>3</v>
      </c>
      <c r="Q138" t="str">
        <f t="shared" si="2"/>
        <v>Average</v>
      </c>
    </row>
    <row r="139" spans="1:17" customFormat="1" hidden="1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s="1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  <c r="Q139" t="str">
        <f t="shared" si="2"/>
        <v>Average</v>
      </c>
    </row>
    <row r="140" spans="1:17" x14ac:dyDescent="0.25">
      <c r="A140" s="3" t="s">
        <v>372</v>
      </c>
      <c r="B140" s="3" t="s">
        <v>373</v>
      </c>
      <c r="C140" s="3" t="s">
        <v>34</v>
      </c>
      <c r="D140" s="3">
        <v>26</v>
      </c>
      <c r="E140" s="3" t="s">
        <v>190</v>
      </c>
      <c r="F140" s="3" t="s">
        <v>83</v>
      </c>
      <c r="G140" s="3" t="s">
        <v>84</v>
      </c>
      <c r="H140" s="3">
        <v>5</v>
      </c>
      <c r="I140" s="4">
        <v>50</v>
      </c>
      <c r="J140" s="3">
        <v>0</v>
      </c>
      <c r="K140" s="3" t="s">
        <v>37</v>
      </c>
      <c r="M140" s="3" t="s">
        <v>79</v>
      </c>
      <c r="N140" s="3" t="s">
        <v>23</v>
      </c>
      <c r="O140" s="3">
        <v>3</v>
      </c>
      <c r="P140" s="3">
        <v>1</v>
      </c>
      <c r="Q140" s="3" t="str">
        <f t="shared" si="2"/>
        <v>Average</v>
      </c>
    </row>
    <row r="141" spans="1:17" x14ac:dyDescent="0.25">
      <c r="A141" s="3" t="s">
        <v>374</v>
      </c>
      <c r="B141" s="3" t="s">
        <v>375</v>
      </c>
      <c r="C141" s="3" t="s">
        <v>56</v>
      </c>
      <c r="D141" s="3">
        <v>31</v>
      </c>
      <c r="E141" s="3" t="s">
        <v>35</v>
      </c>
      <c r="F141" s="3" t="s">
        <v>35</v>
      </c>
      <c r="G141" s="3" t="s">
        <v>89</v>
      </c>
      <c r="H141" s="3">
        <v>11</v>
      </c>
      <c r="I141" s="4">
        <v>50</v>
      </c>
      <c r="J141" s="3">
        <v>3.1</v>
      </c>
      <c r="K141" s="3" t="b">
        <v>0</v>
      </c>
      <c r="L141" s="3">
        <v>0.88</v>
      </c>
      <c r="M141" s="3" t="s">
        <v>74</v>
      </c>
      <c r="N141" s="3" t="s">
        <v>67</v>
      </c>
      <c r="O141" s="3">
        <v>14</v>
      </c>
      <c r="P141" s="3">
        <v>3</v>
      </c>
      <c r="Q141" s="3" t="str">
        <f t="shared" si="2"/>
        <v>Average</v>
      </c>
    </row>
    <row r="142" spans="1:17" x14ac:dyDescent="0.25">
      <c r="A142" s="3" t="s">
        <v>376</v>
      </c>
      <c r="B142" s="3" t="s">
        <v>377</v>
      </c>
      <c r="C142" s="3" t="s">
        <v>56</v>
      </c>
      <c r="D142" s="3">
        <v>52</v>
      </c>
      <c r="E142" s="3" t="s">
        <v>146</v>
      </c>
      <c r="F142" s="3" t="s">
        <v>147</v>
      </c>
      <c r="G142" s="3" t="s">
        <v>84</v>
      </c>
      <c r="H142" s="3">
        <v>15</v>
      </c>
      <c r="I142" s="4">
        <v>50</v>
      </c>
      <c r="J142" s="3">
        <v>0</v>
      </c>
      <c r="K142" s="3" t="s">
        <v>78</v>
      </c>
      <c r="L142" s="3">
        <v>0.81</v>
      </c>
      <c r="M142" s="3" t="s">
        <v>74</v>
      </c>
      <c r="N142" s="3" t="s">
        <v>31</v>
      </c>
      <c r="O142" s="3">
        <v>10</v>
      </c>
      <c r="P142" s="3">
        <v>12</v>
      </c>
      <c r="Q142" s="3" t="str">
        <f t="shared" si="2"/>
        <v>Average</v>
      </c>
    </row>
    <row r="143" spans="1:17" customFormat="1" hidden="1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s="1" t="s">
        <v>325</v>
      </c>
      <c r="J143">
        <v>2.2000000000000002</v>
      </c>
      <c r="K143" t="s">
        <v>85</v>
      </c>
      <c r="L143">
        <v>0.8</v>
      </c>
      <c r="M143" t="s">
        <v>22</v>
      </c>
      <c r="N143" t="s">
        <v>31</v>
      </c>
      <c r="O143">
        <v>3</v>
      </c>
      <c r="P143">
        <v>3</v>
      </c>
      <c r="Q143" t="str">
        <f t="shared" si="2"/>
        <v>Average</v>
      </c>
    </row>
    <row r="144" spans="1:17" x14ac:dyDescent="0.25">
      <c r="A144" s="3" t="s">
        <v>380</v>
      </c>
      <c r="B144" s="3" t="s">
        <v>381</v>
      </c>
      <c r="C144" s="3" t="s">
        <v>34</v>
      </c>
      <c r="D144" s="3">
        <v>45</v>
      </c>
      <c r="E144" s="3" t="s">
        <v>77</v>
      </c>
      <c r="F144" s="3" t="s">
        <v>28</v>
      </c>
      <c r="G144" s="3" t="s">
        <v>42</v>
      </c>
      <c r="H144" s="3">
        <v>7</v>
      </c>
      <c r="I144" s="4">
        <v>75</v>
      </c>
      <c r="J144" s="3">
        <v>3</v>
      </c>
      <c r="K144" s="3">
        <v>1</v>
      </c>
      <c r="L144" s="3">
        <v>0.67</v>
      </c>
      <c r="M144" s="3" t="s">
        <v>53</v>
      </c>
      <c r="N144" s="3" t="s">
        <v>31</v>
      </c>
      <c r="O144" s="3">
        <v>7</v>
      </c>
      <c r="P144" s="3">
        <v>8</v>
      </c>
      <c r="Q144" s="3" t="str">
        <f t="shared" si="2"/>
        <v>Average</v>
      </c>
    </row>
    <row r="145" spans="1:17" customFormat="1" hidden="1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s="1" t="s">
        <v>132</v>
      </c>
      <c r="J145">
        <v>0</v>
      </c>
      <c r="K145" t="s">
        <v>37</v>
      </c>
      <c r="L145">
        <v>0.82</v>
      </c>
      <c r="M145" t="s">
        <v>22</v>
      </c>
      <c r="N145" t="s">
        <v>67</v>
      </c>
      <c r="O145">
        <v>14</v>
      </c>
      <c r="P145">
        <v>6</v>
      </c>
      <c r="Q145" t="str">
        <f t="shared" si="2"/>
        <v>Average</v>
      </c>
    </row>
    <row r="146" spans="1:17" customFormat="1" hidden="1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s="1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  <c r="Q146" t="str">
        <f t="shared" si="2"/>
        <v>Average</v>
      </c>
    </row>
    <row r="147" spans="1:17" customFormat="1" hidden="1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s="1" t="s">
        <v>43</v>
      </c>
      <c r="J147">
        <v>1.4</v>
      </c>
      <c r="K147" t="b">
        <v>0</v>
      </c>
      <c r="L147">
        <v>0.81</v>
      </c>
      <c r="M147" t="s">
        <v>74</v>
      </c>
      <c r="N147" t="s">
        <v>67</v>
      </c>
      <c r="O147">
        <v>9</v>
      </c>
      <c r="P147">
        <v>11</v>
      </c>
      <c r="Q147" t="str">
        <f t="shared" si="2"/>
        <v>Average</v>
      </c>
    </row>
    <row r="148" spans="1:17" customFormat="1" hidden="1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I148" s="1"/>
      <c r="J148">
        <v>1.4</v>
      </c>
      <c r="K148" t="b">
        <v>1</v>
      </c>
      <c r="L148">
        <v>0.74</v>
      </c>
      <c r="M148" t="s">
        <v>74</v>
      </c>
      <c r="N148" t="s">
        <v>31</v>
      </c>
      <c r="O148">
        <v>5</v>
      </c>
      <c r="P148">
        <v>1</v>
      </c>
      <c r="Q148" t="str">
        <f t="shared" si="2"/>
        <v>Average</v>
      </c>
    </row>
    <row r="149" spans="1:17" x14ac:dyDescent="0.25">
      <c r="A149" s="3" t="s">
        <v>390</v>
      </c>
      <c r="B149" s="3" t="s">
        <v>391</v>
      </c>
      <c r="C149" s="3" t="s">
        <v>103</v>
      </c>
      <c r="D149" s="3">
        <v>36</v>
      </c>
      <c r="E149" s="3" t="s">
        <v>35</v>
      </c>
      <c r="F149" s="3" t="s">
        <v>35</v>
      </c>
      <c r="G149" s="3" t="s">
        <v>84</v>
      </c>
      <c r="H149" s="3">
        <v>7</v>
      </c>
      <c r="I149" s="4">
        <v>30</v>
      </c>
      <c r="J149" s="3">
        <v>0</v>
      </c>
      <c r="K149" s="3" t="s">
        <v>37</v>
      </c>
      <c r="L149" s="3">
        <v>0.88</v>
      </c>
      <c r="M149" s="3" t="s">
        <v>74</v>
      </c>
      <c r="N149" s="3" t="s">
        <v>67</v>
      </c>
      <c r="O149" s="3">
        <v>7</v>
      </c>
      <c r="P149" s="3">
        <v>2</v>
      </c>
      <c r="Q149" s="3" t="str">
        <f t="shared" si="2"/>
        <v>Average</v>
      </c>
    </row>
    <row r="150" spans="1:17" x14ac:dyDescent="0.25">
      <c r="A150" s="3" t="s">
        <v>392</v>
      </c>
      <c r="B150" s="3" t="s">
        <v>393</v>
      </c>
      <c r="C150" s="3" t="s">
        <v>34</v>
      </c>
      <c r="D150" s="3">
        <v>25</v>
      </c>
      <c r="E150" s="3" t="s">
        <v>190</v>
      </c>
      <c r="F150" s="3" t="s">
        <v>83</v>
      </c>
      <c r="G150" s="3" t="s">
        <v>59</v>
      </c>
      <c r="H150" s="3">
        <v>0</v>
      </c>
      <c r="I150" s="4">
        <v>40</v>
      </c>
      <c r="J150" s="3">
        <v>0</v>
      </c>
      <c r="K150" s="3">
        <v>0</v>
      </c>
      <c r="L150" s="3">
        <v>0.9</v>
      </c>
      <c r="M150" s="3" t="s">
        <v>22</v>
      </c>
      <c r="N150" s="3" t="s">
        <v>67</v>
      </c>
      <c r="O150" s="3">
        <v>1</v>
      </c>
      <c r="P150" s="3">
        <v>2</v>
      </c>
      <c r="Q150" s="3" t="str">
        <f t="shared" si="2"/>
        <v>Average</v>
      </c>
    </row>
    <row r="151" spans="1:17" customFormat="1" hidden="1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s="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  <c r="Q151" t="str">
        <f t="shared" si="2"/>
        <v>Average</v>
      </c>
    </row>
    <row r="152" spans="1:17" customFormat="1" hidden="1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s="1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  <c r="Q152" t="str">
        <f t="shared" si="2"/>
        <v>Average</v>
      </c>
    </row>
    <row r="153" spans="1:17" x14ac:dyDescent="0.25">
      <c r="A153" s="3" t="s">
        <v>398</v>
      </c>
      <c r="B153" s="3" t="s">
        <v>399</v>
      </c>
      <c r="C153" s="3" t="s">
        <v>56</v>
      </c>
      <c r="D153" s="3">
        <v>29</v>
      </c>
      <c r="E153" s="3" t="s">
        <v>201</v>
      </c>
      <c r="F153" s="3" t="s">
        <v>83</v>
      </c>
      <c r="G153" s="3" t="s">
        <v>59</v>
      </c>
      <c r="H153" s="3">
        <v>11</v>
      </c>
      <c r="I153" s="4">
        <v>20</v>
      </c>
      <c r="J153" s="3">
        <v>2.7</v>
      </c>
      <c r="K153" s="3" t="s">
        <v>170</v>
      </c>
      <c r="L153" s="3">
        <v>0.93</v>
      </c>
      <c r="M153" s="3" t="s">
        <v>74</v>
      </c>
      <c r="N153" s="3" t="s">
        <v>38</v>
      </c>
      <c r="O153" s="3">
        <v>13</v>
      </c>
      <c r="P153" s="3">
        <v>7</v>
      </c>
      <c r="Q153" s="3" t="str">
        <f t="shared" si="2"/>
        <v>Average</v>
      </c>
    </row>
    <row r="154" spans="1:17" x14ac:dyDescent="0.25">
      <c r="A154" s="3" t="s">
        <v>400</v>
      </c>
      <c r="B154" s="3" t="s">
        <v>401</v>
      </c>
      <c r="C154" s="3" t="s">
        <v>46</v>
      </c>
      <c r="D154" s="3">
        <v>55</v>
      </c>
      <c r="E154" s="3" t="s">
        <v>82</v>
      </c>
      <c r="F154" s="3" t="s">
        <v>83</v>
      </c>
      <c r="G154" s="3" t="s">
        <v>29</v>
      </c>
      <c r="H154" s="3">
        <v>12</v>
      </c>
      <c r="I154" s="4">
        <v>100</v>
      </c>
      <c r="J154" s="3">
        <v>1.8</v>
      </c>
      <c r="K154" s="3">
        <v>1</v>
      </c>
      <c r="M154" s="3" t="s">
        <v>79</v>
      </c>
      <c r="N154" s="3" t="s">
        <v>38</v>
      </c>
      <c r="O154" s="3">
        <v>11</v>
      </c>
      <c r="P154" s="3">
        <v>3</v>
      </c>
      <c r="Q154" s="3" t="str">
        <f t="shared" si="2"/>
        <v>Average</v>
      </c>
    </row>
    <row r="155" spans="1:17" customFormat="1" hidden="1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s="1" t="s">
        <v>181</v>
      </c>
      <c r="J155">
        <v>1.1000000000000001</v>
      </c>
      <c r="K155" t="s">
        <v>170</v>
      </c>
      <c r="L155">
        <v>0.71</v>
      </c>
      <c r="M155" t="s">
        <v>79</v>
      </c>
      <c r="N155" t="s">
        <v>67</v>
      </c>
      <c r="O155">
        <v>19</v>
      </c>
      <c r="P155">
        <v>7</v>
      </c>
      <c r="Q155" t="str">
        <f t="shared" si="2"/>
        <v>Average</v>
      </c>
    </row>
    <row r="156" spans="1:17" customFormat="1" hidden="1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s="1" t="s">
        <v>43</v>
      </c>
      <c r="J156">
        <v>4.3</v>
      </c>
      <c r="K156">
        <v>1</v>
      </c>
      <c r="L156">
        <v>0.95</v>
      </c>
      <c r="M156" t="s">
        <v>22</v>
      </c>
      <c r="N156" t="s">
        <v>38</v>
      </c>
      <c r="O156">
        <v>11</v>
      </c>
      <c r="P156">
        <v>8</v>
      </c>
      <c r="Q156" t="str">
        <f t="shared" si="2"/>
        <v>GOOD</v>
      </c>
    </row>
    <row r="157" spans="1:17" x14ac:dyDescent="0.25">
      <c r="A157" s="3" t="s">
        <v>406</v>
      </c>
      <c r="B157" s="3" t="s">
        <v>407</v>
      </c>
      <c r="C157" s="3" t="s">
        <v>103</v>
      </c>
      <c r="D157" s="3">
        <v>60</v>
      </c>
      <c r="E157" s="3" t="s">
        <v>118</v>
      </c>
      <c r="F157" s="3" t="s">
        <v>119</v>
      </c>
      <c r="G157" s="3" t="s">
        <v>42</v>
      </c>
      <c r="H157" s="3">
        <v>15</v>
      </c>
      <c r="I157" s="4">
        <v>100</v>
      </c>
      <c r="J157" s="3">
        <v>1.5</v>
      </c>
      <c r="K157" s="3">
        <v>0</v>
      </c>
      <c r="L157" s="3">
        <v>80</v>
      </c>
      <c r="M157" s="3" t="s">
        <v>53</v>
      </c>
      <c r="N157" s="3" t="s">
        <v>38</v>
      </c>
      <c r="O157" s="3">
        <v>8</v>
      </c>
      <c r="P157" s="3">
        <v>14</v>
      </c>
      <c r="Q157" s="3" t="str">
        <f t="shared" si="2"/>
        <v>Average</v>
      </c>
    </row>
    <row r="158" spans="1:17" customFormat="1" hidden="1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s="1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  <c r="Q158" t="str">
        <f t="shared" si="2"/>
        <v>Average</v>
      </c>
    </row>
    <row r="159" spans="1:17" x14ac:dyDescent="0.25">
      <c r="A159" s="3" t="s">
        <v>410</v>
      </c>
      <c r="B159" s="3" t="s">
        <v>411</v>
      </c>
      <c r="C159" s="3" t="s">
        <v>108</v>
      </c>
      <c r="D159" s="3">
        <v>56</v>
      </c>
      <c r="E159" s="3" t="s">
        <v>164</v>
      </c>
      <c r="F159" s="3" t="s">
        <v>165</v>
      </c>
      <c r="G159" s="3" t="s">
        <v>59</v>
      </c>
      <c r="I159" s="4">
        <v>100</v>
      </c>
      <c r="J159" s="3">
        <v>3.2</v>
      </c>
      <c r="K159" s="3">
        <v>0</v>
      </c>
      <c r="L159" s="3">
        <v>0.62</v>
      </c>
      <c r="M159" s="3" t="s">
        <v>74</v>
      </c>
      <c r="N159" s="3" t="s">
        <v>67</v>
      </c>
      <c r="O159" s="3">
        <v>4</v>
      </c>
      <c r="P159" s="3">
        <v>1</v>
      </c>
      <c r="Q159" s="3" t="str">
        <f t="shared" si="2"/>
        <v>Average</v>
      </c>
    </row>
    <row r="160" spans="1:17" customFormat="1" hidden="1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s="1" t="s">
        <v>73</v>
      </c>
      <c r="J160">
        <v>1.9</v>
      </c>
      <c r="K160" t="b">
        <v>0</v>
      </c>
      <c r="L160">
        <v>0.95</v>
      </c>
      <c r="M160" t="s">
        <v>22</v>
      </c>
      <c r="N160" t="s">
        <v>31</v>
      </c>
      <c r="O160">
        <v>2</v>
      </c>
      <c r="P160">
        <v>3</v>
      </c>
      <c r="Q160" t="str">
        <f t="shared" si="2"/>
        <v>Average</v>
      </c>
    </row>
    <row r="161" spans="1:17" x14ac:dyDescent="0.25">
      <c r="A161" s="3" t="s">
        <v>414</v>
      </c>
      <c r="B161" s="3" t="s">
        <v>415</v>
      </c>
      <c r="C161" s="3" t="s">
        <v>88</v>
      </c>
      <c r="D161" s="3">
        <v>20</v>
      </c>
      <c r="E161" s="3" t="s">
        <v>201</v>
      </c>
      <c r="F161" s="3" t="s">
        <v>83</v>
      </c>
      <c r="G161" s="3" t="s">
        <v>36</v>
      </c>
      <c r="H161" s="3">
        <v>0</v>
      </c>
      <c r="I161" s="4">
        <v>40</v>
      </c>
      <c r="J161" s="3">
        <v>2.5</v>
      </c>
      <c r="K161" s="3">
        <v>0</v>
      </c>
      <c r="L161" s="3">
        <v>0.79</v>
      </c>
      <c r="M161" s="3" t="s">
        <v>22</v>
      </c>
      <c r="N161" s="3" t="s">
        <v>38</v>
      </c>
      <c r="O161" s="3">
        <v>4</v>
      </c>
      <c r="P161" s="3">
        <v>2</v>
      </c>
      <c r="Q161" s="3" t="str">
        <f t="shared" si="2"/>
        <v>Average</v>
      </c>
    </row>
    <row r="162" spans="1:17" x14ac:dyDescent="0.25">
      <c r="A162" s="3" t="s">
        <v>416</v>
      </c>
      <c r="B162" s="3" t="s">
        <v>417</v>
      </c>
      <c r="C162" s="3" t="s">
        <v>46</v>
      </c>
      <c r="D162" s="3">
        <v>47</v>
      </c>
      <c r="E162" s="3" t="s">
        <v>57</v>
      </c>
      <c r="F162" s="3" t="s">
        <v>58</v>
      </c>
      <c r="G162" s="3" t="s">
        <v>84</v>
      </c>
      <c r="H162" s="3">
        <v>12</v>
      </c>
      <c r="I162" s="4">
        <v>40</v>
      </c>
      <c r="J162" s="3">
        <v>4.5</v>
      </c>
      <c r="K162" s="3" t="s">
        <v>170</v>
      </c>
      <c r="L162" s="3">
        <v>0.62</v>
      </c>
      <c r="M162" s="3" t="s">
        <v>79</v>
      </c>
      <c r="N162" s="3" t="s">
        <v>23</v>
      </c>
      <c r="O162" s="3">
        <v>15</v>
      </c>
      <c r="P162" s="3">
        <v>10</v>
      </c>
      <c r="Q162" s="3" t="str">
        <f t="shared" si="2"/>
        <v>GOOD</v>
      </c>
    </row>
    <row r="163" spans="1:17" customFormat="1" hidden="1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s="1" t="s">
        <v>52</v>
      </c>
      <c r="J163">
        <v>4.0999999999999996</v>
      </c>
      <c r="K163" t="s">
        <v>170</v>
      </c>
      <c r="L163">
        <v>0.68</v>
      </c>
      <c r="M163" t="s">
        <v>74</v>
      </c>
      <c r="N163" t="s">
        <v>67</v>
      </c>
      <c r="O163">
        <v>15</v>
      </c>
      <c r="P163">
        <v>11</v>
      </c>
      <c r="Q163" t="str">
        <f t="shared" si="2"/>
        <v>GOOD</v>
      </c>
    </row>
    <row r="164" spans="1:17" customFormat="1" hidden="1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s="1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  <c r="Q164" t="str">
        <f t="shared" si="2"/>
        <v>Average</v>
      </c>
    </row>
    <row r="165" spans="1:17" customFormat="1" hidden="1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s="1" t="s">
        <v>60</v>
      </c>
      <c r="K165">
        <v>0</v>
      </c>
      <c r="L165">
        <v>0.8</v>
      </c>
      <c r="M165" t="s">
        <v>22</v>
      </c>
      <c r="N165" t="s">
        <v>23</v>
      </c>
      <c r="O165">
        <v>19</v>
      </c>
      <c r="P165">
        <v>7</v>
      </c>
      <c r="Q165" t="str">
        <f t="shared" si="2"/>
        <v>Average</v>
      </c>
    </row>
    <row r="166" spans="1:17" x14ac:dyDescent="0.25">
      <c r="A166" s="3" t="s">
        <v>424</v>
      </c>
      <c r="B166" s="3" t="s">
        <v>425</v>
      </c>
      <c r="C166" s="3" t="s">
        <v>70</v>
      </c>
      <c r="D166" s="3">
        <v>56</v>
      </c>
      <c r="E166" s="3" t="s">
        <v>96</v>
      </c>
      <c r="F166" s="3" t="s">
        <v>97</v>
      </c>
      <c r="G166" s="3" t="s">
        <v>89</v>
      </c>
      <c r="H166" s="3">
        <v>15</v>
      </c>
      <c r="I166" s="4">
        <v>40</v>
      </c>
      <c r="J166" s="3">
        <v>3.7</v>
      </c>
      <c r="L166" s="3">
        <v>0.92</v>
      </c>
      <c r="M166" s="3" t="s">
        <v>53</v>
      </c>
      <c r="N166" s="3" t="s">
        <v>38</v>
      </c>
      <c r="O166" s="3">
        <v>14</v>
      </c>
      <c r="P166" s="3">
        <v>9</v>
      </c>
      <c r="Q166" s="3" t="str">
        <f t="shared" si="2"/>
        <v>GOOD</v>
      </c>
    </row>
    <row r="167" spans="1:17" customFormat="1" hidden="1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s="1" t="s">
        <v>60</v>
      </c>
      <c r="J167">
        <v>1.3</v>
      </c>
      <c r="K167">
        <v>1</v>
      </c>
      <c r="L167">
        <v>0.65</v>
      </c>
      <c r="M167" t="s">
        <v>53</v>
      </c>
      <c r="N167" t="s">
        <v>31</v>
      </c>
      <c r="O167">
        <v>1</v>
      </c>
      <c r="P167">
        <v>1</v>
      </c>
      <c r="Q167" t="str">
        <f t="shared" si="2"/>
        <v>Average</v>
      </c>
    </row>
    <row r="168" spans="1:17" x14ac:dyDescent="0.25">
      <c r="A168" s="3" t="s">
        <v>428</v>
      </c>
      <c r="B168" s="3" t="s">
        <v>429</v>
      </c>
      <c r="C168" s="3" t="s">
        <v>56</v>
      </c>
      <c r="D168" s="3">
        <v>60</v>
      </c>
      <c r="E168" s="3" t="s">
        <v>123</v>
      </c>
      <c r="F168" s="3" t="s">
        <v>124</v>
      </c>
      <c r="G168" s="3" t="s">
        <v>29</v>
      </c>
      <c r="H168" s="3">
        <v>33</v>
      </c>
      <c r="I168" s="4">
        <v>40</v>
      </c>
      <c r="J168" s="3">
        <v>3.6</v>
      </c>
      <c r="K168" s="3">
        <v>1</v>
      </c>
      <c r="L168" s="3">
        <v>0.87</v>
      </c>
      <c r="M168" s="3" t="s">
        <v>74</v>
      </c>
      <c r="N168" s="3" t="s">
        <v>67</v>
      </c>
      <c r="O168" s="3">
        <v>13</v>
      </c>
      <c r="P168" s="3">
        <v>10</v>
      </c>
      <c r="Q168" s="3" t="str">
        <f t="shared" si="2"/>
        <v>GOOD</v>
      </c>
    </row>
    <row r="169" spans="1:17" x14ac:dyDescent="0.25">
      <c r="A169" s="3" t="s">
        <v>430</v>
      </c>
      <c r="B169" s="3" t="s">
        <v>431</v>
      </c>
      <c r="C169" s="3" t="s">
        <v>26</v>
      </c>
      <c r="D169" s="3">
        <v>31</v>
      </c>
      <c r="E169" s="3" t="s">
        <v>139</v>
      </c>
      <c r="F169" s="3" t="s">
        <v>28</v>
      </c>
      <c r="G169" s="3" t="s">
        <v>42</v>
      </c>
      <c r="H169" s="3">
        <v>10</v>
      </c>
      <c r="I169" s="4">
        <v>75</v>
      </c>
      <c r="J169" s="3">
        <v>0</v>
      </c>
      <c r="K169" s="3" t="s">
        <v>170</v>
      </c>
      <c r="L169" s="3">
        <v>0.7</v>
      </c>
      <c r="M169" s="3" t="s">
        <v>74</v>
      </c>
      <c r="N169" s="3" t="s">
        <v>23</v>
      </c>
      <c r="O169" s="3">
        <v>11</v>
      </c>
      <c r="P169" s="3">
        <v>9</v>
      </c>
      <c r="Q169" s="3" t="str">
        <f t="shared" si="2"/>
        <v>Average</v>
      </c>
    </row>
    <row r="170" spans="1:17" x14ac:dyDescent="0.25">
      <c r="A170" s="3" t="s">
        <v>432</v>
      </c>
      <c r="B170" s="3" t="s">
        <v>433</v>
      </c>
      <c r="C170" s="3" t="s">
        <v>70</v>
      </c>
      <c r="D170" s="3">
        <v>60</v>
      </c>
      <c r="E170" s="3" t="s">
        <v>82</v>
      </c>
      <c r="F170" s="3" t="s">
        <v>83</v>
      </c>
      <c r="G170" s="3" t="s">
        <v>89</v>
      </c>
      <c r="H170" s="3">
        <v>20</v>
      </c>
      <c r="I170" s="4">
        <v>40</v>
      </c>
      <c r="J170" s="3">
        <v>1.4</v>
      </c>
      <c r="K170" s="3" t="s">
        <v>170</v>
      </c>
      <c r="L170" s="3">
        <v>87</v>
      </c>
      <c r="M170" s="3" t="s">
        <v>22</v>
      </c>
      <c r="N170" s="3" t="s">
        <v>67</v>
      </c>
      <c r="O170" s="3">
        <v>18</v>
      </c>
      <c r="P170" s="3">
        <v>17</v>
      </c>
      <c r="Q170" s="3" t="str">
        <f t="shared" si="2"/>
        <v>Average</v>
      </c>
    </row>
    <row r="171" spans="1:17" x14ac:dyDescent="0.25">
      <c r="A171" s="3" t="s">
        <v>434</v>
      </c>
      <c r="B171" s="3" t="s">
        <v>435</v>
      </c>
      <c r="C171" s="3" t="s">
        <v>70</v>
      </c>
      <c r="D171" s="3">
        <v>46</v>
      </c>
      <c r="E171" s="3" t="s">
        <v>146</v>
      </c>
      <c r="F171" s="3" t="s">
        <v>147</v>
      </c>
      <c r="G171" s="3" t="s">
        <v>100</v>
      </c>
      <c r="H171" s="3">
        <v>23</v>
      </c>
      <c r="I171" s="4">
        <v>20</v>
      </c>
      <c r="J171" s="3">
        <v>2.9</v>
      </c>
      <c r="K171" s="3" t="s">
        <v>37</v>
      </c>
      <c r="L171" s="3">
        <v>0.72</v>
      </c>
      <c r="M171" s="3" t="s">
        <v>74</v>
      </c>
      <c r="N171" s="3" t="s">
        <v>38</v>
      </c>
      <c r="O171" s="3">
        <v>19</v>
      </c>
      <c r="P171" s="3">
        <v>5</v>
      </c>
      <c r="Q171" s="3" t="str">
        <f t="shared" si="2"/>
        <v>Average</v>
      </c>
    </row>
    <row r="172" spans="1:17" x14ac:dyDescent="0.25">
      <c r="A172" s="3" t="s">
        <v>436</v>
      </c>
      <c r="B172" s="3" t="s">
        <v>437</v>
      </c>
      <c r="C172" s="3" t="s">
        <v>41</v>
      </c>
      <c r="E172" s="3" t="s">
        <v>49</v>
      </c>
      <c r="F172" s="3" t="s">
        <v>50</v>
      </c>
      <c r="G172" s="3" t="s">
        <v>21</v>
      </c>
      <c r="I172" s="4">
        <v>40</v>
      </c>
      <c r="J172" s="3">
        <v>2.8</v>
      </c>
      <c r="K172" s="3" t="s">
        <v>37</v>
      </c>
      <c r="L172" s="3">
        <v>0.8</v>
      </c>
      <c r="M172" s="3" t="s">
        <v>74</v>
      </c>
      <c r="N172" s="3" t="s">
        <v>23</v>
      </c>
      <c r="O172" s="3">
        <v>4</v>
      </c>
      <c r="P172" s="3">
        <v>1</v>
      </c>
      <c r="Q172" s="3" t="str">
        <f t="shared" si="2"/>
        <v>Average</v>
      </c>
    </row>
    <row r="173" spans="1:17" x14ac:dyDescent="0.25">
      <c r="A173" s="3" t="s">
        <v>438</v>
      </c>
      <c r="B173" s="3" t="s">
        <v>439</v>
      </c>
      <c r="C173" s="3" t="s">
        <v>108</v>
      </c>
      <c r="D173" s="3">
        <v>34</v>
      </c>
      <c r="E173" s="3" t="s">
        <v>96</v>
      </c>
      <c r="F173" s="3" t="s">
        <v>97</v>
      </c>
      <c r="G173" s="3" t="s">
        <v>84</v>
      </c>
      <c r="H173" s="3">
        <v>0</v>
      </c>
      <c r="I173" s="4">
        <v>20</v>
      </c>
      <c r="J173" s="3">
        <v>1.7</v>
      </c>
      <c r="K173" s="3">
        <v>0</v>
      </c>
      <c r="L173" s="3">
        <v>0.66</v>
      </c>
      <c r="M173" s="3" t="s">
        <v>74</v>
      </c>
      <c r="N173" s="3" t="s">
        <v>38</v>
      </c>
      <c r="O173" s="3">
        <v>1</v>
      </c>
      <c r="P173" s="3">
        <v>3</v>
      </c>
      <c r="Q173" s="3" t="str">
        <f t="shared" si="2"/>
        <v>Average</v>
      </c>
    </row>
    <row r="174" spans="1:17" customFormat="1" hidden="1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s="1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  <c r="Q174" t="str">
        <f t="shared" si="2"/>
        <v>Average</v>
      </c>
    </row>
    <row r="175" spans="1:17" customFormat="1" hidden="1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s="1" t="s">
        <v>60</v>
      </c>
      <c r="J175">
        <v>1.1000000000000001</v>
      </c>
      <c r="K175" t="b">
        <v>1</v>
      </c>
      <c r="L175">
        <v>0.64</v>
      </c>
      <c r="M175" t="s">
        <v>22</v>
      </c>
      <c r="N175" t="s">
        <v>31</v>
      </c>
      <c r="O175">
        <v>4</v>
      </c>
      <c r="P175">
        <v>2</v>
      </c>
      <c r="Q175" t="str">
        <f t="shared" si="2"/>
        <v>Average</v>
      </c>
    </row>
    <row r="176" spans="1:17" x14ac:dyDescent="0.25">
      <c r="A176" s="3" t="s">
        <v>444</v>
      </c>
      <c r="B176" s="3" t="s">
        <v>445</v>
      </c>
      <c r="C176" s="3" t="s">
        <v>34</v>
      </c>
      <c r="D176" s="3">
        <v>29</v>
      </c>
      <c r="E176" s="3" t="s">
        <v>118</v>
      </c>
      <c r="F176" s="3" t="s">
        <v>119</v>
      </c>
      <c r="G176" s="3" t="s">
        <v>84</v>
      </c>
      <c r="H176" s="3">
        <v>9</v>
      </c>
      <c r="I176" s="4">
        <v>20</v>
      </c>
      <c r="L176" s="3">
        <v>0.68</v>
      </c>
      <c r="M176" s="3" t="s">
        <v>79</v>
      </c>
      <c r="N176" s="3" t="s">
        <v>67</v>
      </c>
      <c r="O176" s="3">
        <v>11</v>
      </c>
      <c r="P176" s="3">
        <v>5</v>
      </c>
      <c r="Q176" s="3" t="str">
        <f t="shared" si="2"/>
        <v>Average</v>
      </c>
    </row>
    <row r="177" spans="1:17" x14ac:dyDescent="0.25">
      <c r="A177" s="3" t="s">
        <v>446</v>
      </c>
      <c r="B177" s="3" t="s">
        <v>447</v>
      </c>
      <c r="C177" s="3" t="s">
        <v>46</v>
      </c>
      <c r="D177" s="3">
        <v>57</v>
      </c>
      <c r="E177" s="3" t="s">
        <v>27</v>
      </c>
      <c r="F177" s="3" t="s">
        <v>28</v>
      </c>
      <c r="G177" s="3" t="s">
        <v>36</v>
      </c>
      <c r="H177" s="3">
        <v>17</v>
      </c>
      <c r="I177" s="4">
        <v>20</v>
      </c>
      <c r="J177" s="3">
        <v>3.6</v>
      </c>
      <c r="K177" s="3">
        <v>0</v>
      </c>
      <c r="L177" s="3">
        <v>0.63</v>
      </c>
      <c r="M177" s="3" t="s">
        <v>53</v>
      </c>
      <c r="N177" s="3" t="s">
        <v>23</v>
      </c>
      <c r="O177" s="3">
        <v>10</v>
      </c>
      <c r="P177" s="3">
        <v>4</v>
      </c>
      <c r="Q177" s="3" t="str">
        <f t="shared" si="2"/>
        <v>GOOD</v>
      </c>
    </row>
    <row r="178" spans="1:17" x14ac:dyDescent="0.25">
      <c r="A178" s="3" t="s">
        <v>448</v>
      </c>
      <c r="B178" s="3" t="s">
        <v>449</v>
      </c>
      <c r="C178" s="3" t="s">
        <v>70</v>
      </c>
      <c r="D178" s="3">
        <v>47</v>
      </c>
      <c r="E178" s="3" t="s">
        <v>104</v>
      </c>
      <c r="F178" s="3" t="s">
        <v>105</v>
      </c>
      <c r="G178" s="3" t="s">
        <v>100</v>
      </c>
      <c r="H178" s="3">
        <v>8</v>
      </c>
      <c r="I178" s="4">
        <v>20</v>
      </c>
      <c r="J178" s="3">
        <v>4.5</v>
      </c>
      <c r="K178" s="3">
        <v>1</v>
      </c>
      <c r="L178" s="3">
        <v>0.72</v>
      </c>
      <c r="M178" s="3" t="s">
        <v>74</v>
      </c>
      <c r="N178" s="3" t="s">
        <v>38</v>
      </c>
      <c r="O178" s="3">
        <v>12</v>
      </c>
      <c r="P178" s="3">
        <v>10</v>
      </c>
      <c r="Q178" s="3" t="str">
        <f t="shared" si="2"/>
        <v>GOOD</v>
      </c>
    </row>
    <row r="179" spans="1:17" customFormat="1" hidden="1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s="1" t="s">
        <v>52</v>
      </c>
      <c r="J179">
        <v>0</v>
      </c>
      <c r="K179" t="b">
        <v>1</v>
      </c>
      <c r="L179">
        <v>0.86</v>
      </c>
      <c r="M179" t="s">
        <v>53</v>
      </c>
      <c r="N179" t="s">
        <v>38</v>
      </c>
      <c r="O179">
        <v>14</v>
      </c>
      <c r="P179">
        <v>3</v>
      </c>
      <c r="Q179" t="str">
        <f t="shared" si="2"/>
        <v>Average</v>
      </c>
    </row>
    <row r="180" spans="1:17" customFormat="1" hidden="1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s="1" t="s">
        <v>120</v>
      </c>
      <c r="J180">
        <v>1.5</v>
      </c>
      <c r="K180">
        <v>1</v>
      </c>
      <c r="L180">
        <v>0.73</v>
      </c>
      <c r="M180" t="s">
        <v>74</v>
      </c>
      <c r="N180" t="s">
        <v>23</v>
      </c>
      <c r="O180">
        <v>15</v>
      </c>
      <c r="P180">
        <v>17</v>
      </c>
      <c r="Q180" t="str">
        <f t="shared" si="2"/>
        <v>Average</v>
      </c>
    </row>
    <row r="181" spans="1:17" customFormat="1" hidden="1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s="1" t="s">
        <v>52</v>
      </c>
      <c r="J181">
        <v>3.7</v>
      </c>
      <c r="K181" t="s">
        <v>170</v>
      </c>
      <c r="L181">
        <v>0.95</v>
      </c>
      <c r="M181" t="s">
        <v>74</v>
      </c>
      <c r="N181" t="s">
        <v>38</v>
      </c>
      <c r="O181">
        <v>3</v>
      </c>
      <c r="P181">
        <v>1</v>
      </c>
      <c r="Q181" t="str">
        <f t="shared" si="2"/>
        <v>GOOD</v>
      </c>
    </row>
    <row r="182" spans="1:17" x14ac:dyDescent="0.25">
      <c r="A182" s="3" t="s">
        <v>456</v>
      </c>
      <c r="B182" s="3" t="s">
        <v>457</v>
      </c>
      <c r="C182" s="3" t="s">
        <v>26</v>
      </c>
      <c r="D182" s="3">
        <v>31</v>
      </c>
      <c r="E182" s="3" t="s">
        <v>82</v>
      </c>
      <c r="F182" s="3" t="s">
        <v>83</v>
      </c>
      <c r="G182" s="3" t="s">
        <v>29</v>
      </c>
      <c r="H182" s="3">
        <v>12</v>
      </c>
      <c r="I182" s="4">
        <v>20</v>
      </c>
      <c r="J182" s="3">
        <v>2.2999999999999998</v>
      </c>
      <c r="K182" s="3" t="b">
        <v>0</v>
      </c>
      <c r="L182" s="3">
        <v>0.9</v>
      </c>
      <c r="M182" s="3" t="s">
        <v>53</v>
      </c>
      <c r="N182" s="3" t="s">
        <v>31</v>
      </c>
      <c r="O182" s="3">
        <v>11</v>
      </c>
      <c r="P182" s="3">
        <v>6</v>
      </c>
      <c r="Q182" s="3" t="str">
        <f t="shared" si="2"/>
        <v>Average</v>
      </c>
    </row>
    <row r="183" spans="1:17" customFormat="1" hidden="1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s="1" t="s">
        <v>132</v>
      </c>
      <c r="J183">
        <v>2.8</v>
      </c>
      <c r="K183">
        <v>0</v>
      </c>
      <c r="L183">
        <v>0.78</v>
      </c>
      <c r="M183" t="s">
        <v>22</v>
      </c>
      <c r="N183" t="s">
        <v>31</v>
      </c>
      <c r="O183">
        <v>5</v>
      </c>
      <c r="P183">
        <v>1</v>
      </c>
      <c r="Q183" t="str">
        <f t="shared" si="2"/>
        <v>Average</v>
      </c>
    </row>
    <row r="184" spans="1:17" x14ac:dyDescent="0.25">
      <c r="A184" s="3" t="s">
        <v>460</v>
      </c>
      <c r="B184" s="3" t="s">
        <v>461</v>
      </c>
      <c r="C184" s="3" t="s">
        <v>70</v>
      </c>
      <c r="D184" s="3">
        <v>38</v>
      </c>
      <c r="E184" s="3" t="s">
        <v>96</v>
      </c>
      <c r="F184" s="3" t="s">
        <v>97</v>
      </c>
      <c r="G184" s="3" t="s">
        <v>42</v>
      </c>
      <c r="H184" s="3">
        <v>3</v>
      </c>
      <c r="I184" s="4">
        <v>30</v>
      </c>
      <c r="J184" s="3">
        <v>3.5</v>
      </c>
      <c r="K184" s="3" t="s">
        <v>170</v>
      </c>
      <c r="L184" s="3">
        <v>0.97</v>
      </c>
      <c r="M184" s="3" t="s">
        <v>74</v>
      </c>
      <c r="N184" s="3" t="s">
        <v>31</v>
      </c>
      <c r="O184" s="3">
        <v>3</v>
      </c>
      <c r="P184" s="3">
        <v>1</v>
      </c>
      <c r="Q184" s="3" t="str">
        <f t="shared" si="2"/>
        <v>GOOD</v>
      </c>
    </row>
    <row r="185" spans="1:17" customFormat="1" hidden="1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I185" s="1"/>
      <c r="J185">
        <v>0</v>
      </c>
      <c r="K185" t="s">
        <v>78</v>
      </c>
      <c r="L185">
        <v>0.65</v>
      </c>
      <c r="M185" t="s">
        <v>22</v>
      </c>
      <c r="N185" t="s">
        <v>31</v>
      </c>
      <c r="O185">
        <v>12</v>
      </c>
      <c r="P185">
        <v>7</v>
      </c>
      <c r="Q185" t="str">
        <f t="shared" si="2"/>
        <v>Average</v>
      </c>
    </row>
    <row r="186" spans="1:17" x14ac:dyDescent="0.25">
      <c r="A186" s="3" t="s">
        <v>464</v>
      </c>
      <c r="B186" s="3" t="s">
        <v>465</v>
      </c>
      <c r="C186" s="3" t="s">
        <v>41</v>
      </c>
      <c r="D186" s="3">
        <v>31</v>
      </c>
      <c r="E186" s="3" t="s">
        <v>27</v>
      </c>
      <c r="F186" s="3" t="s">
        <v>28</v>
      </c>
      <c r="G186" s="3" t="s">
        <v>42</v>
      </c>
      <c r="H186" s="3">
        <v>4</v>
      </c>
      <c r="I186" s="4">
        <v>40</v>
      </c>
      <c r="J186" s="3">
        <v>3.2</v>
      </c>
      <c r="K186" s="3">
        <v>1</v>
      </c>
      <c r="L186" s="3">
        <v>0.78</v>
      </c>
      <c r="M186" s="3" t="s">
        <v>79</v>
      </c>
      <c r="N186" s="3" t="s">
        <v>38</v>
      </c>
      <c r="O186" s="3">
        <v>4</v>
      </c>
      <c r="P186" s="3">
        <v>1</v>
      </c>
      <c r="Q186" s="3" t="str">
        <f t="shared" si="2"/>
        <v>Average</v>
      </c>
    </row>
    <row r="187" spans="1:17" x14ac:dyDescent="0.25">
      <c r="A187" s="3" t="s">
        <v>466</v>
      </c>
      <c r="B187" s="3" t="s">
        <v>467</v>
      </c>
      <c r="C187" s="3" t="s">
        <v>56</v>
      </c>
      <c r="D187" s="3">
        <v>41</v>
      </c>
      <c r="E187" s="3" t="s">
        <v>201</v>
      </c>
      <c r="F187" s="3" t="s">
        <v>83</v>
      </c>
      <c r="G187" s="3" t="s">
        <v>125</v>
      </c>
      <c r="H187" s="3">
        <v>21</v>
      </c>
      <c r="I187" s="4">
        <v>50</v>
      </c>
      <c r="J187" s="3">
        <v>3.3</v>
      </c>
      <c r="K187" s="3" t="s">
        <v>85</v>
      </c>
      <c r="L187" s="3">
        <v>0.65</v>
      </c>
      <c r="M187" s="3" t="s">
        <v>74</v>
      </c>
      <c r="N187" s="3" t="s">
        <v>23</v>
      </c>
      <c r="O187" s="3">
        <v>20</v>
      </c>
      <c r="P187" s="3">
        <v>4</v>
      </c>
      <c r="Q187" s="3" t="str">
        <f t="shared" si="2"/>
        <v>Average</v>
      </c>
    </row>
    <row r="188" spans="1:17" customFormat="1" hidden="1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s="1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  <c r="Q188" t="str">
        <f t="shared" si="2"/>
        <v>GOOD</v>
      </c>
    </row>
    <row r="189" spans="1:17" x14ac:dyDescent="0.25">
      <c r="A189" s="3" t="s">
        <v>470</v>
      </c>
      <c r="B189" s="3" t="s">
        <v>471</v>
      </c>
      <c r="C189" s="3" t="s">
        <v>34</v>
      </c>
      <c r="D189" s="3">
        <v>50</v>
      </c>
      <c r="E189" s="3" t="s">
        <v>190</v>
      </c>
      <c r="F189" s="3" t="s">
        <v>83</v>
      </c>
      <c r="G189" s="3" t="s">
        <v>59</v>
      </c>
      <c r="H189" s="3">
        <v>6</v>
      </c>
      <c r="I189" s="4">
        <v>30</v>
      </c>
      <c r="J189" s="3">
        <v>2.2000000000000002</v>
      </c>
      <c r="K189" s="3">
        <v>1</v>
      </c>
      <c r="L189" s="3">
        <v>0.95</v>
      </c>
      <c r="M189" s="3" t="s">
        <v>22</v>
      </c>
      <c r="N189" s="3" t="s">
        <v>23</v>
      </c>
      <c r="O189" s="3">
        <v>13</v>
      </c>
      <c r="P189" s="3">
        <v>2</v>
      </c>
      <c r="Q189" s="3" t="str">
        <f t="shared" si="2"/>
        <v>Average</v>
      </c>
    </row>
    <row r="190" spans="1:17" customFormat="1" hidden="1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s="1" t="s">
        <v>63</v>
      </c>
      <c r="K190">
        <v>1</v>
      </c>
      <c r="L190">
        <v>0.88</v>
      </c>
      <c r="M190" t="s">
        <v>79</v>
      </c>
      <c r="N190" t="s">
        <v>23</v>
      </c>
      <c r="O190">
        <v>14</v>
      </c>
      <c r="P190">
        <v>2</v>
      </c>
      <c r="Q190" t="str">
        <f t="shared" si="2"/>
        <v>Average</v>
      </c>
    </row>
    <row r="191" spans="1:17" customFormat="1" hidden="1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I191" s="1"/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  <c r="Q191" t="str">
        <f t="shared" si="2"/>
        <v>Average</v>
      </c>
    </row>
    <row r="192" spans="1:17" x14ac:dyDescent="0.25">
      <c r="A192" s="3" t="s">
        <v>476</v>
      </c>
      <c r="B192" s="3" t="s">
        <v>477</v>
      </c>
      <c r="C192" s="3" t="s">
        <v>108</v>
      </c>
      <c r="D192" s="3">
        <v>21</v>
      </c>
      <c r="E192" s="3" t="s">
        <v>123</v>
      </c>
      <c r="F192" s="3" t="s">
        <v>124</v>
      </c>
      <c r="G192" s="3" t="s">
        <v>36</v>
      </c>
      <c r="H192" s="3">
        <v>1</v>
      </c>
      <c r="I192" s="4">
        <v>75</v>
      </c>
      <c r="J192" s="3">
        <v>4.5999999999999996</v>
      </c>
      <c r="K192" s="3">
        <v>0</v>
      </c>
      <c r="L192" s="3">
        <v>0.92</v>
      </c>
      <c r="M192" s="3" t="s">
        <v>22</v>
      </c>
      <c r="N192" s="3" t="s">
        <v>23</v>
      </c>
      <c r="O192" s="3">
        <v>2</v>
      </c>
      <c r="P192" s="3">
        <v>1</v>
      </c>
      <c r="Q192" s="3" t="str">
        <f t="shared" si="2"/>
        <v>GOOD</v>
      </c>
    </row>
    <row r="193" spans="1:17" x14ac:dyDescent="0.25">
      <c r="A193" s="3" t="s">
        <v>478</v>
      </c>
      <c r="B193" s="3" t="s">
        <v>479</v>
      </c>
      <c r="C193" s="3" t="s">
        <v>103</v>
      </c>
      <c r="D193" s="3">
        <v>58</v>
      </c>
      <c r="E193" s="3" t="s">
        <v>27</v>
      </c>
      <c r="F193" s="3" t="s">
        <v>28</v>
      </c>
      <c r="G193" s="3" t="s">
        <v>36</v>
      </c>
      <c r="H193" s="3">
        <v>20</v>
      </c>
      <c r="I193" s="4">
        <v>75</v>
      </c>
      <c r="J193" s="3">
        <v>2.8</v>
      </c>
      <c r="K193" s="3" t="s">
        <v>170</v>
      </c>
      <c r="L193" s="3">
        <v>0.75</v>
      </c>
      <c r="M193" s="3" t="s">
        <v>79</v>
      </c>
      <c r="N193" s="3" t="s">
        <v>67</v>
      </c>
      <c r="O193" s="3">
        <v>13</v>
      </c>
      <c r="P193" s="3">
        <v>1</v>
      </c>
      <c r="Q193" s="3" t="str">
        <f t="shared" si="2"/>
        <v>Average</v>
      </c>
    </row>
    <row r="194" spans="1:17" customFormat="1" hidden="1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s="1" t="s">
        <v>52</v>
      </c>
      <c r="J194">
        <v>1.4</v>
      </c>
      <c r="K194" t="b">
        <v>0</v>
      </c>
      <c r="L194">
        <v>0.74</v>
      </c>
      <c r="M194" t="s">
        <v>74</v>
      </c>
      <c r="N194" t="s">
        <v>67</v>
      </c>
      <c r="O194">
        <v>2</v>
      </c>
      <c r="P194">
        <v>4</v>
      </c>
      <c r="Q194" t="str">
        <f t="shared" ref="Q194:Q257" si="3">IF(J194&lt;3.5,"Average","GOOD")</f>
        <v>Average</v>
      </c>
    </row>
    <row r="195" spans="1:17" customFormat="1" hidden="1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s="1" t="s">
        <v>52</v>
      </c>
      <c r="J195">
        <v>4.2</v>
      </c>
      <c r="K195" t="s">
        <v>85</v>
      </c>
      <c r="L195">
        <v>0.71</v>
      </c>
      <c r="M195" t="s">
        <v>22</v>
      </c>
      <c r="N195" t="s">
        <v>31</v>
      </c>
      <c r="O195">
        <v>11</v>
      </c>
      <c r="P195">
        <v>13</v>
      </c>
      <c r="Q195" t="str">
        <f t="shared" si="3"/>
        <v>GOOD</v>
      </c>
    </row>
    <row r="196" spans="1:17" customFormat="1" hidden="1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s="1" t="s">
        <v>63</v>
      </c>
      <c r="J196">
        <v>3.6</v>
      </c>
      <c r="K196">
        <v>1</v>
      </c>
      <c r="L196">
        <v>0.89</v>
      </c>
      <c r="M196" t="s">
        <v>22</v>
      </c>
      <c r="N196" t="s">
        <v>67</v>
      </c>
      <c r="O196">
        <v>17</v>
      </c>
      <c r="P196">
        <v>2</v>
      </c>
      <c r="Q196" t="str">
        <f t="shared" si="3"/>
        <v>GOOD</v>
      </c>
    </row>
    <row r="197" spans="1:17" customFormat="1" hidden="1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s="1" t="s">
        <v>240</v>
      </c>
      <c r="J197">
        <v>1.6</v>
      </c>
      <c r="L197">
        <v>0.66</v>
      </c>
      <c r="M197" t="s">
        <v>22</v>
      </c>
      <c r="N197" t="s">
        <v>38</v>
      </c>
      <c r="O197">
        <v>14</v>
      </c>
      <c r="P197">
        <v>17</v>
      </c>
      <c r="Q197" t="str">
        <f t="shared" si="3"/>
        <v>Average</v>
      </c>
    </row>
    <row r="198" spans="1:17" customFormat="1" hidden="1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s="1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  <c r="Q198" t="str">
        <f t="shared" si="3"/>
        <v>Average</v>
      </c>
    </row>
    <row r="199" spans="1:17" x14ac:dyDescent="0.25">
      <c r="A199" s="3" t="s">
        <v>489</v>
      </c>
      <c r="B199" s="3" t="s">
        <v>490</v>
      </c>
      <c r="C199" s="3" t="s">
        <v>108</v>
      </c>
      <c r="D199" s="3">
        <v>32</v>
      </c>
      <c r="E199" s="3" t="s">
        <v>146</v>
      </c>
      <c r="F199" s="3" t="s">
        <v>147</v>
      </c>
      <c r="G199" s="3" t="s">
        <v>125</v>
      </c>
      <c r="H199" s="3">
        <v>11</v>
      </c>
      <c r="I199" s="4">
        <v>40</v>
      </c>
      <c r="J199" s="3">
        <v>4.3</v>
      </c>
      <c r="K199" s="3" t="b">
        <v>1</v>
      </c>
      <c r="L199" s="3">
        <v>0.86</v>
      </c>
      <c r="M199" s="3" t="s">
        <v>79</v>
      </c>
      <c r="N199" s="3" t="s">
        <v>31</v>
      </c>
      <c r="O199" s="3">
        <v>9</v>
      </c>
      <c r="P199" s="3">
        <v>2</v>
      </c>
      <c r="Q199" s="3" t="str">
        <f t="shared" si="3"/>
        <v>GOOD</v>
      </c>
    </row>
    <row r="200" spans="1:17" customFormat="1" hidden="1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s="1" t="s">
        <v>240</v>
      </c>
      <c r="J200">
        <v>4.9000000000000004</v>
      </c>
      <c r="K200" t="s">
        <v>85</v>
      </c>
      <c r="L200">
        <v>0.86</v>
      </c>
      <c r="M200" t="s">
        <v>53</v>
      </c>
      <c r="N200" t="s">
        <v>67</v>
      </c>
      <c r="O200">
        <v>12</v>
      </c>
      <c r="P200">
        <v>3</v>
      </c>
      <c r="Q200" t="str">
        <f t="shared" si="3"/>
        <v>GOOD</v>
      </c>
    </row>
    <row r="201" spans="1:17" x14ac:dyDescent="0.25">
      <c r="A201" s="3" t="s">
        <v>493</v>
      </c>
      <c r="B201" s="3" t="s">
        <v>494</v>
      </c>
      <c r="C201" s="3" t="s">
        <v>46</v>
      </c>
      <c r="D201" s="3">
        <v>39</v>
      </c>
      <c r="E201" s="3" t="s">
        <v>82</v>
      </c>
      <c r="F201" s="3" t="s">
        <v>83</v>
      </c>
      <c r="G201" s="3" t="s">
        <v>59</v>
      </c>
      <c r="H201" s="3">
        <v>11</v>
      </c>
      <c r="I201" s="4">
        <v>100</v>
      </c>
      <c r="J201" s="3">
        <v>3.5</v>
      </c>
      <c r="K201" s="3" t="s">
        <v>85</v>
      </c>
      <c r="L201" s="3">
        <v>0.82</v>
      </c>
      <c r="M201" s="3" t="s">
        <v>79</v>
      </c>
      <c r="N201" s="3" t="s">
        <v>38</v>
      </c>
      <c r="O201" s="3">
        <v>12</v>
      </c>
      <c r="P201" s="3">
        <v>2</v>
      </c>
      <c r="Q201" s="3" t="str">
        <f t="shared" si="3"/>
        <v>GOOD</v>
      </c>
    </row>
    <row r="202" spans="1:17" x14ac:dyDescent="0.25">
      <c r="A202" s="3" t="s">
        <v>495</v>
      </c>
      <c r="B202" s="3" t="s">
        <v>496</v>
      </c>
      <c r="C202" s="3" t="s">
        <v>18</v>
      </c>
      <c r="D202" s="3">
        <v>25</v>
      </c>
      <c r="E202" s="3" t="s">
        <v>201</v>
      </c>
      <c r="F202" s="3" t="s">
        <v>83</v>
      </c>
      <c r="G202" s="3" t="s">
        <v>51</v>
      </c>
      <c r="H202" s="3">
        <v>2</v>
      </c>
      <c r="I202" s="4">
        <v>100</v>
      </c>
      <c r="J202" s="3">
        <v>2.5</v>
      </c>
      <c r="K202" s="3" t="s">
        <v>170</v>
      </c>
      <c r="L202" s="3">
        <v>87</v>
      </c>
      <c r="M202" s="3" t="s">
        <v>74</v>
      </c>
      <c r="N202" s="3" t="s">
        <v>38</v>
      </c>
      <c r="O202" s="3">
        <v>1</v>
      </c>
      <c r="P202" s="3">
        <v>1</v>
      </c>
      <c r="Q202" s="3" t="str">
        <f t="shared" si="3"/>
        <v>Average</v>
      </c>
    </row>
    <row r="203" spans="1:17" x14ac:dyDescent="0.25">
      <c r="A203" s="3" t="s">
        <v>497</v>
      </c>
      <c r="B203" s="3" t="s">
        <v>498</v>
      </c>
      <c r="C203" s="3" t="s">
        <v>26</v>
      </c>
      <c r="D203" s="3">
        <v>55</v>
      </c>
      <c r="E203" s="3" t="s">
        <v>186</v>
      </c>
      <c r="F203" s="3" t="s">
        <v>187</v>
      </c>
      <c r="G203" s="3" t="s">
        <v>125</v>
      </c>
      <c r="H203" s="3">
        <v>7</v>
      </c>
      <c r="I203" s="4">
        <v>100</v>
      </c>
      <c r="J203" s="3">
        <v>1.7</v>
      </c>
      <c r="K203" s="3">
        <v>1</v>
      </c>
      <c r="L203" s="3">
        <v>0.8</v>
      </c>
      <c r="M203" s="3" t="s">
        <v>74</v>
      </c>
      <c r="N203" s="3" t="s">
        <v>38</v>
      </c>
      <c r="O203" s="3">
        <v>14</v>
      </c>
      <c r="P203" s="3">
        <v>4</v>
      </c>
      <c r="Q203" s="3" t="str">
        <f t="shared" si="3"/>
        <v>Average</v>
      </c>
    </row>
    <row r="204" spans="1:17" customFormat="1" hidden="1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s="1" t="s">
        <v>30</v>
      </c>
      <c r="J204">
        <v>4.5999999999999996</v>
      </c>
      <c r="K204" t="s">
        <v>85</v>
      </c>
      <c r="L204">
        <v>0.71</v>
      </c>
      <c r="M204" t="s">
        <v>22</v>
      </c>
      <c r="N204" t="s">
        <v>31</v>
      </c>
      <c r="O204">
        <v>15</v>
      </c>
      <c r="P204">
        <v>10</v>
      </c>
      <c r="Q204" t="str">
        <f t="shared" si="3"/>
        <v>GOOD</v>
      </c>
    </row>
    <row r="205" spans="1:17" x14ac:dyDescent="0.25">
      <c r="A205" s="3" t="s">
        <v>501</v>
      </c>
      <c r="B205" s="3" t="s">
        <v>502</v>
      </c>
      <c r="C205" s="3" t="s">
        <v>34</v>
      </c>
      <c r="D205" s="3">
        <v>43</v>
      </c>
      <c r="E205" s="3" t="s">
        <v>135</v>
      </c>
      <c r="F205" s="3" t="s">
        <v>136</v>
      </c>
      <c r="G205" s="3" t="s">
        <v>29</v>
      </c>
      <c r="H205" s="3">
        <v>6</v>
      </c>
      <c r="I205" s="4">
        <v>50</v>
      </c>
      <c r="K205" s="3" t="s">
        <v>37</v>
      </c>
      <c r="L205" s="3">
        <v>0.77</v>
      </c>
      <c r="M205" s="3" t="s">
        <v>79</v>
      </c>
      <c r="N205" s="3" t="s">
        <v>31</v>
      </c>
      <c r="O205" s="3">
        <v>6</v>
      </c>
      <c r="P205" s="3">
        <v>9</v>
      </c>
      <c r="Q205" s="3" t="str">
        <f t="shared" si="3"/>
        <v>Average</v>
      </c>
    </row>
    <row r="206" spans="1:17" customFormat="1" hidden="1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s="1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  <c r="Q206" t="str">
        <f t="shared" si="3"/>
        <v>Average</v>
      </c>
    </row>
    <row r="207" spans="1:17" x14ac:dyDescent="0.25">
      <c r="A207" s="3" t="s">
        <v>505</v>
      </c>
      <c r="B207" s="3" t="s">
        <v>506</v>
      </c>
      <c r="C207" s="3" t="s">
        <v>26</v>
      </c>
      <c r="D207" s="3">
        <v>21</v>
      </c>
      <c r="E207" s="3" t="s">
        <v>150</v>
      </c>
      <c r="F207" s="3" t="s">
        <v>151</v>
      </c>
      <c r="G207" s="3" t="s">
        <v>36</v>
      </c>
      <c r="H207" s="3">
        <v>0</v>
      </c>
      <c r="I207" s="4">
        <v>20</v>
      </c>
      <c r="J207" s="3">
        <v>1.8</v>
      </c>
      <c r="K207" s="3" t="s">
        <v>37</v>
      </c>
      <c r="L207" s="3">
        <v>0.91</v>
      </c>
      <c r="M207" s="3" t="s">
        <v>79</v>
      </c>
      <c r="N207" s="3" t="s">
        <v>31</v>
      </c>
      <c r="O207" s="3">
        <v>4</v>
      </c>
      <c r="P207" s="3">
        <v>1</v>
      </c>
      <c r="Q207" s="3" t="str">
        <f t="shared" si="3"/>
        <v>Average</v>
      </c>
    </row>
    <row r="208" spans="1:17" x14ac:dyDescent="0.25">
      <c r="A208" s="3" t="s">
        <v>507</v>
      </c>
      <c r="B208" s="3" t="s">
        <v>508</v>
      </c>
      <c r="C208" s="3" t="s">
        <v>56</v>
      </c>
      <c r="D208" s="3">
        <v>46</v>
      </c>
      <c r="E208" s="3" t="s">
        <v>139</v>
      </c>
      <c r="F208" s="3" t="s">
        <v>28</v>
      </c>
      <c r="G208" s="3" t="s">
        <v>84</v>
      </c>
      <c r="H208" s="3">
        <v>5</v>
      </c>
      <c r="I208" s="4">
        <v>20</v>
      </c>
      <c r="J208" s="3">
        <v>2.2000000000000002</v>
      </c>
      <c r="K208" s="3" t="b">
        <v>0</v>
      </c>
      <c r="L208" s="3">
        <v>0.75</v>
      </c>
      <c r="M208" s="3" t="s">
        <v>74</v>
      </c>
      <c r="N208" s="3" t="s">
        <v>38</v>
      </c>
      <c r="O208" s="3">
        <v>1</v>
      </c>
      <c r="P208" s="3">
        <v>5</v>
      </c>
      <c r="Q208" s="3" t="str">
        <f t="shared" si="3"/>
        <v>Average</v>
      </c>
    </row>
    <row r="209" spans="1:17" x14ac:dyDescent="0.25">
      <c r="A209" s="3" t="s">
        <v>509</v>
      </c>
      <c r="B209" s="3" t="s">
        <v>510</v>
      </c>
      <c r="C209" s="3" t="s">
        <v>18</v>
      </c>
      <c r="D209" s="3">
        <v>30</v>
      </c>
      <c r="E209" s="3" t="s">
        <v>201</v>
      </c>
      <c r="F209" s="3" t="s">
        <v>83</v>
      </c>
      <c r="G209" s="3" t="s">
        <v>21</v>
      </c>
      <c r="H209" s="3">
        <v>11</v>
      </c>
      <c r="I209" s="4">
        <v>40</v>
      </c>
      <c r="J209" s="3">
        <v>1</v>
      </c>
      <c r="K209" s="3" t="s">
        <v>37</v>
      </c>
      <c r="L209" s="3">
        <v>0.9</v>
      </c>
      <c r="M209" s="3" t="s">
        <v>53</v>
      </c>
      <c r="N209" s="3" t="s">
        <v>38</v>
      </c>
      <c r="O209" s="3">
        <v>11</v>
      </c>
      <c r="P209" s="3">
        <v>1</v>
      </c>
      <c r="Q209" s="3" t="str">
        <f t="shared" si="3"/>
        <v>Average</v>
      </c>
    </row>
    <row r="210" spans="1:17" customFormat="1" hidden="1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s="1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  <c r="Q210" t="str">
        <f t="shared" si="3"/>
        <v>Average</v>
      </c>
    </row>
    <row r="211" spans="1:17" x14ac:dyDescent="0.25">
      <c r="A211" s="3" t="s">
        <v>513</v>
      </c>
      <c r="B211" s="3" t="s">
        <v>514</v>
      </c>
      <c r="C211" s="3" t="s">
        <v>88</v>
      </c>
      <c r="D211" s="3">
        <v>47</v>
      </c>
      <c r="E211" s="3" t="s">
        <v>35</v>
      </c>
      <c r="F211" s="3" t="s">
        <v>35</v>
      </c>
      <c r="G211" s="3" t="s">
        <v>59</v>
      </c>
      <c r="H211" s="3">
        <v>15</v>
      </c>
      <c r="I211" s="4">
        <v>40</v>
      </c>
      <c r="J211" s="3">
        <v>2.1</v>
      </c>
      <c r="K211" s="3" t="s">
        <v>78</v>
      </c>
      <c r="L211" s="3">
        <v>0.94</v>
      </c>
      <c r="M211" s="3" t="s">
        <v>53</v>
      </c>
      <c r="N211" s="3" t="s">
        <v>67</v>
      </c>
      <c r="O211" s="3">
        <v>8</v>
      </c>
      <c r="P211" s="3">
        <v>10</v>
      </c>
      <c r="Q211" s="3" t="str">
        <f t="shared" si="3"/>
        <v>Average</v>
      </c>
    </row>
    <row r="212" spans="1:17" customFormat="1" hidden="1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s="1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  <c r="Q212" t="str">
        <f t="shared" si="3"/>
        <v>GOOD</v>
      </c>
    </row>
    <row r="213" spans="1:17" customFormat="1" hidden="1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s="1" t="s">
        <v>132</v>
      </c>
      <c r="J213">
        <v>0</v>
      </c>
      <c r="K213" t="s">
        <v>78</v>
      </c>
      <c r="L213">
        <v>0.84</v>
      </c>
      <c r="M213" t="s">
        <v>22</v>
      </c>
      <c r="N213" t="s">
        <v>31</v>
      </c>
      <c r="O213">
        <v>8</v>
      </c>
      <c r="P213">
        <v>5</v>
      </c>
      <c r="Q213" t="str">
        <f t="shared" si="3"/>
        <v>Average</v>
      </c>
    </row>
    <row r="214" spans="1:17" customFormat="1" hidden="1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s="1" t="s">
        <v>132</v>
      </c>
      <c r="J214">
        <v>2.8</v>
      </c>
      <c r="K214" t="s">
        <v>170</v>
      </c>
      <c r="L214">
        <v>0.87</v>
      </c>
      <c r="M214" t="s">
        <v>53</v>
      </c>
      <c r="N214" t="s">
        <v>38</v>
      </c>
      <c r="O214">
        <v>12</v>
      </c>
      <c r="P214">
        <v>5</v>
      </c>
      <c r="Q214" t="str">
        <f t="shared" si="3"/>
        <v>Average</v>
      </c>
    </row>
    <row r="215" spans="1:17" customFormat="1" hidden="1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s="1" t="s">
        <v>43</v>
      </c>
      <c r="J215">
        <v>0</v>
      </c>
      <c r="K215" t="s">
        <v>37</v>
      </c>
      <c r="L215">
        <v>0.64</v>
      </c>
      <c r="M215" t="s">
        <v>74</v>
      </c>
      <c r="N215" t="s">
        <v>23</v>
      </c>
      <c r="O215">
        <v>14</v>
      </c>
      <c r="P215">
        <v>4</v>
      </c>
      <c r="Q215" t="str">
        <f t="shared" si="3"/>
        <v>Average</v>
      </c>
    </row>
    <row r="216" spans="1:17" x14ac:dyDescent="0.25">
      <c r="A216" s="3" t="s">
        <v>523</v>
      </c>
      <c r="B216" s="3" t="s">
        <v>524</v>
      </c>
      <c r="C216" s="3" t="s">
        <v>46</v>
      </c>
      <c r="D216" s="3">
        <v>22</v>
      </c>
      <c r="E216" s="3" t="s">
        <v>57</v>
      </c>
      <c r="F216" s="3" t="s">
        <v>58</v>
      </c>
      <c r="G216" s="3" t="s">
        <v>125</v>
      </c>
      <c r="H216" s="3">
        <v>0</v>
      </c>
      <c r="I216" s="4">
        <v>100</v>
      </c>
      <c r="J216" s="3">
        <v>2.7</v>
      </c>
      <c r="K216" s="3" t="b">
        <v>1</v>
      </c>
      <c r="L216" s="3">
        <v>0.64</v>
      </c>
      <c r="M216" s="3" t="s">
        <v>22</v>
      </c>
      <c r="N216" s="3" t="s">
        <v>38</v>
      </c>
      <c r="O216" s="3">
        <v>1</v>
      </c>
      <c r="P216" s="3">
        <v>1</v>
      </c>
      <c r="Q216" s="3" t="str">
        <f t="shared" si="3"/>
        <v>Average</v>
      </c>
    </row>
    <row r="217" spans="1:17" customFormat="1" hidden="1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s="1" t="s">
        <v>132</v>
      </c>
      <c r="J217">
        <v>0</v>
      </c>
      <c r="K217" t="b">
        <v>1</v>
      </c>
      <c r="L217">
        <v>0.8</v>
      </c>
      <c r="M217" t="s">
        <v>53</v>
      </c>
      <c r="N217" t="s">
        <v>23</v>
      </c>
      <c r="O217">
        <v>8</v>
      </c>
      <c r="P217">
        <v>13</v>
      </c>
      <c r="Q217" t="str">
        <f t="shared" si="3"/>
        <v>Average</v>
      </c>
    </row>
    <row r="218" spans="1:17" customFormat="1" hidden="1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s="1" t="s">
        <v>73</v>
      </c>
      <c r="J218">
        <v>3.1</v>
      </c>
      <c r="K218">
        <v>0</v>
      </c>
      <c r="L218">
        <v>0.9</v>
      </c>
      <c r="M218" t="s">
        <v>22</v>
      </c>
      <c r="N218" t="s">
        <v>38</v>
      </c>
      <c r="O218">
        <v>2</v>
      </c>
      <c r="P218">
        <v>1</v>
      </c>
      <c r="Q218" t="str">
        <f t="shared" si="3"/>
        <v>Average</v>
      </c>
    </row>
    <row r="219" spans="1:17" customFormat="1" hidden="1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s="1" t="s">
        <v>30</v>
      </c>
      <c r="J219">
        <v>0</v>
      </c>
      <c r="K219" t="s">
        <v>85</v>
      </c>
      <c r="L219">
        <v>0.92</v>
      </c>
      <c r="M219" t="s">
        <v>79</v>
      </c>
      <c r="N219" t="s">
        <v>31</v>
      </c>
      <c r="O219">
        <v>7</v>
      </c>
      <c r="P219">
        <v>9</v>
      </c>
      <c r="Q219" t="str">
        <f t="shared" si="3"/>
        <v>Average</v>
      </c>
    </row>
    <row r="220" spans="1:17" customFormat="1" hidden="1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I220" s="1"/>
      <c r="K220">
        <v>0</v>
      </c>
      <c r="L220">
        <v>0.96</v>
      </c>
      <c r="M220" t="s">
        <v>79</v>
      </c>
      <c r="N220" t="s">
        <v>38</v>
      </c>
      <c r="O220">
        <v>14</v>
      </c>
      <c r="P220">
        <v>3</v>
      </c>
      <c r="Q220" t="str">
        <f t="shared" si="3"/>
        <v>Average</v>
      </c>
    </row>
    <row r="221" spans="1:17" customFormat="1" hidden="1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s="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  <c r="Q221" t="str">
        <f t="shared" si="3"/>
        <v>Average</v>
      </c>
    </row>
    <row r="222" spans="1:17" x14ac:dyDescent="0.25">
      <c r="A222" s="3" t="s">
        <v>535</v>
      </c>
      <c r="B222" s="3" t="s">
        <v>536</v>
      </c>
      <c r="C222" s="3" t="s">
        <v>26</v>
      </c>
      <c r="D222" s="3">
        <v>21</v>
      </c>
      <c r="E222" s="3" t="s">
        <v>186</v>
      </c>
      <c r="F222" s="3" t="s">
        <v>187</v>
      </c>
      <c r="G222" s="3" t="s">
        <v>89</v>
      </c>
      <c r="H222" s="3">
        <v>2</v>
      </c>
      <c r="I222" s="4">
        <v>100</v>
      </c>
      <c r="J222" s="3">
        <v>2.4</v>
      </c>
      <c r="K222" s="3" t="s">
        <v>85</v>
      </c>
      <c r="M222" s="3" t="s">
        <v>74</v>
      </c>
      <c r="N222" s="3" t="s">
        <v>38</v>
      </c>
      <c r="O222" s="3">
        <v>3</v>
      </c>
      <c r="P222" s="3">
        <v>1</v>
      </c>
      <c r="Q222" s="3" t="str">
        <f t="shared" si="3"/>
        <v>Average</v>
      </c>
    </row>
    <row r="223" spans="1:17" x14ac:dyDescent="0.25">
      <c r="A223" s="3" t="s">
        <v>537</v>
      </c>
      <c r="B223" s="3" t="s">
        <v>538</v>
      </c>
      <c r="C223" s="3" t="s">
        <v>70</v>
      </c>
      <c r="D223" s="3">
        <v>41</v>
      </c>
      <c r="E223" s="3" t="s">
        <v>123</v>
      </c>
      <c r="F223" s="3" t="s">
        <v>124</v>
      </c>
      <c r="G223" s="3" t="s">
        <v>125</v>
      </c>
      <c r="H223" s="3">
        <v>4</v>
      </c>
      <c r="I223" s="4">
        <v>75</v>
      </c>
      <c r="J223" s="3">
        <v>2.6</v>
      </c>
      <c r="L223" s="3">
        <v>0.85</v>
      </c>
      <c r="M223" s="3" t="s">
        <v>53</v>
      </c>
      <c r="N223" s="3" t="s">
        <v>31</v>
      </c>
      <c r="O223" s="3">
        <v>4</v>
      </c>
      <c r="P223" s="3">
        <v>1</v>
      </c>
      <c r="Q223" s="3" t="str">
        <f t="shared" si="3"/>
        <v>Average</v>
      </c>
    </row>
    <row r="224" spans="1:17" customFormat="1" hidden="1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s="1" t="s">
        <v>63</v>
      </c>
      <c r="J224">
        <v>1.1000000000000001</v>
      </c>
      <c r="K224">
        <v>0</v>
      </c>
      <c r="L224">
        <v>0.79</v>
      </c>
      <c r="M224" t="s">
        <v>22</v>
      </c>
      <c r="N224" t="s">
        <v>31</v>
      </c>
      <c r="O224">
        <v>5</v>
      </c>
      <c r="P224">
        <v>2</v>
      </c>
      <c r="Q224" t="str">
        <f t="shared" si="3"/>
        <v>Average</v>
      </c>
    </row>
    <row r="225" spans="1:17" x14ac:dyDescent="0.25">
      <c r="A225" s="3" t="s">
        <v>541</v>
      </c>
      <c r="B225" s="3" t="s">
        <v>542</v>
      </c>
      <c r="C225" s="3" t="s">
        <v>41</v>
      </c>
      <c r="D225" s="3">
        <v>58</v>
      </c>
      <c r="E225" s="3" t="s">
        <v>186</v>
      </c>
      <c r="F225" s="3" t="s">
        <v>187</v>
      </c>
      <c r="G225" s="3" t="s">
        <v>125</v>
      </c>
      <c r="H225" s="3">
        <v>9</v>
      </c>
      <c r="I225" s="4">
        <v>30</v>
      </c>
      <c r="J225" s="3">
        <v>0</v>
      </c>
      <c r="K225" s="3">
        <v>1</v>
      </c>
      <c r="L225" s="3">
        <v>0.65</v>
      </c>
      <c r="M225" s="3" t="s">
        <v>74</v>
      </c>
      <c r="N225" s="3" t="s">
        <v>31</v>
      </c>
      <c r="O225" s="3">
        <v>15</v>
      </c>
      <c r="P225" s="3">
        <v>6</v>
      </c>
      <c r="Q225" s="3" t="str">
        <f t="shared" si="3"/>
        <v>Average</v>
      </c>
    </row>
    <row r="226" spans="1:17" x14ac:dyDescent="0.25">
      <c r="A226" s="3" t="s">
        <v>543</v>
      </c>
      <c r="B226" s="3" t="s">
        <v>544</v>
      </c>
      <c r="C226" s="3" t="s">
        <v>108</v>
      </c>
      <c r="D226" s="3">
        <v>60</v>
      </c>
      <c r="E226" s="3" t="s">
        <v>139</v>
      </c>
      <c r="F226" s="3" t="s">
        <v>28</v>
      </c>
      <c r="G226" s="3" t="s">
        <v>125</v>
      </c>
      <c r="H226" s="3">
        <v>3</v>
      </c>
      <c r="I226" s="4">
        <v>40</v>
      </c>
      <c r="J226" s="3">
        <v>4.7</v>
      </c>
      <c r="K226" s="3" t="b">
        <v>0</v>
      </c>
      <c r="L226" s="3">
        <v>0.63</v>
      </c>
      <c r="M226" s="3" t="s">
        <v>79</v>
      </c>
      <c r="N226" s="3" t="s">
        <v>31</v>
      </c>
      <c r="O226" s="3">
        <v>1</v>
      </c>
      <c r="P226" s="3">
        <v>5</v>
      </c>
      <c r="Q226" s="3" t="str">
        <f t="shared" si="3"/>
        <v>GOOD</v>
      </c>
    </row>
    <row r="227" spans="1:17" customFormat="1" hidden="1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s="1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  <c r="Q227" t="str">
        <f t="shared" si="3"/>
        <v>Average</v>
      </c>
    </row>
    <row r="228" spans="1:17" customFormat="1" hidden="1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s="1" t="s">
        <v>63</v>
      </c>
      <c r="J228">
        <v>1.2</v>
      </c>
      <c r="K228" t="b">
        <v>0</v>
      </c>
      <c r="L228">
        <v>0.78</v>
      </c>
      <c r="M228" t="s">
        <v>79</v>
      </c>
      <c r="N228" t="s">
        <v>23</v>
      </c>
      <c r="O228">
        <v>7</v>
      </c>
      <c r="P228">
        <v>6</v>
      </c>
      <c r="Q228" t="str">
        <f t="shared" si="3"/>
        <v>Average</v>
      </c>
    </row>
    <row r="229" spans="1:17" customFormat="1" hidden="1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s="1" t="s">
        <v>181</v>
      </c>
      <c r="J229">
        <v>0</v>
      </c>
      <c r="K229">
        <v>1</v>
      </c>
      <c r="L229">
        <v>0.62</v>
      </c>
      <c r="M229" t="s">
        <v>74</v>
      </c>
      <c r="N229" t="s">
        <v>67</v>
      </c>
      <c r="O229">
        <v>18</v>
      </c>
      <c r="P229">
        <v>9</v>
      </c>
      <c r="Q229" t="str">
        <f t="shared" si="3"/>
        <v>Average</v>
      </c>
    </row>
    <row r="230" spans="1:17" x14ac:dyDescent="0.25">
      <c r="A230" s="3" t="s">
        <v>551</v>
      </c>
      <c r="B230" s="3" t="s">
        <v>552</v>
      </c>
      <c r="C230" s="3" t="s">
        <v>103</v>
      </c>
      <c r="D230" s="3">
        <v>52</v>
      </c>
      <c r="E230" s="3" t="s">
        <v>190</v>
      </c>
      <c r="F230" s="3" t="s">
        <v>83</v>
      </c>
      <c r="G230" s="3" t="s">
        <v>125</v>
      </c>
      <c r="H230" s="3">
        <v>12</v>
      </c>
      <c r="I230" s="4">
        <v>40</v>
      </c>
      <c r="J230" s="3">
        <v>1.2</v>
      </c>
      <c r="K230" s="3">
        <v>0</v>
      </c>
      <c r="L230" s="3">
        <v>0.76</v>
      </c>
      <c r="M230" s="3" t="s">
        <v>74</v>
      </c>
      <c r="N230" s="3" t="s">
        <v>31</v>
      </c>
      <c r="O230" s="3">
        <v>14</v>
      </c>
      <c r="P230" s="3">
        <v>3</v>
      </c>
      <c r="Q230" s="3" t="str">
        <f t="shared" si="3"/>
        <v>Average</v>
      </c>
    </row>
    <row r="231" spans="1:17" x14ac:dyDescent="0.25">
      <c r="A231" s="3" t="s">
        <v>553</v>
      </c>
      <c r="B231" s="3" t="s">
        <v>554</v>
      </c>
      <c r="C231" s="3" t="s">
        <v>26</v>
      </c>
      <c r="D231" s="3">
        <v>55</v>
      </c>
      <c r="E231" s="3" t="s">
        <v>57</v>
      </c>
      <c r="F231" s="3" t="s">
        <v>58</v>
      </c>
      <c r="G231" s="3" t="s">
        <v>21</v>
      </c>
      <c r="H231" s="3">
        <v>18</v>
      </c>
      <c r="I231" s="4">
        <v>100</v>
      </c>
      <c r="J231" s="3">
        <v>2.9</v>
      </c>
      <c r="K231" s="3">
        <v>0</v>
      </c>
      <c r="L231" s="3">
        <v>97</v>
      </c>
      <c r="M231" s="3" t="s">
        <v>74</v>
      </c>
      <c r="N231" s="3" t="s">
        <v>23</v>
      </c>
      <c r="O231" s="3">
        <v>12</v>
      </c>
      <c r="P231" s="3">
        <v>9</v>
      </c>
      <c r="Q231" s="3" t="str">
        <f t="shared" si="3"/>
        <v>Average</v>
      </c>
    </row>
    <row r="232" spans="1:17" customFormat="1" hidden="1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I232" s="1"/>
      <c r="K232" t="s">
        <v>37</v>
      </c>
      <c r="M232" t="s">
        <v>22</v>
      </c>
      <c r="N232" t="s">
        <v>38</v>
      </c>
      <c r="O232">
        <v>3</v>
      </c>
      <c r="P232">
        <v>2</v>
      </c>
      <c r="Q232" t="str">
        <f t="shared" si="3"/>
        <v>Average</v>
      </c>
    </row>
    <row r="233" spans="1:17" customFormat="1" hidden="1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s="1" t="s">
        <v>73</v>
      </c>
      <c r="J233">
        <v>3.9</v>
      </c>
      <c r="K233">
        <v>1</v>
      </c>
      <c r="L233">
        <v>0.82</v>
      </c>
      <c r="M233" t="s">
        <v>22</v>
      </c>
      <c r="N233" t="s">
        <v>31</v>
      </c>
      <c r="O233">
        <v>13</v>
      </c>
      <c r="P233">
        <v>2</v>
      </c>
      <c r="Q233" t="str">
        <f t="shared" si="3"/>
        <v>GOOD</v>
      </c>
    </row>
    <row r="234" spans="1:17" x14ac:dyDescent="0.25">
      <c r="A234" s="3" t="s">
        <v>559</v>
      </c>
      <c r="B234" s="3" t="s">
        <v>560</v>
      </c>
      <c r="C234" s="3" t="s">
        <v>56</v>
      </c>
      <c r="D234" s="3">
        <v>20</v>
      </c>
      <c r="E234" s="3" t="s">
        <v>146</v>
      </c>
      <c r="F234" s="3" t="s">
        <v>147</v>
      </c>
      <c r="G234" s="3" t="s">
        <v>59</v>
      </c>
      <c r="H234" s="3">
        <v>1</v>
      </c>
      <c r="I234" s="4">
        <v>50</v>
      </c>
      <c r="J234" s="3">
        <v>3.1</v>
      </c>
      <c r="L234" s="3">
        <v>0.71</v>
      </c>
      <c r="M234" s="3" t="s">
        <v>53</v>
      </c>
      <c r="N234" s="3" t="s">
        <v>67</v>
      </c>
      <c r="O234" s="3">
        <v>4</v>
      </c>
      <c r="P234" s="3">
        <v>3</v>
      </c>
      <c r="Q234" s="3" t="str">
        <f t="shared" si="3"/>
        <v>Average</v>
      </c>
    </row>
    <row r="235" spans="1:17" customFormat="1" hidden="1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I235" s="1"/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  <c r="Q235" t="str">
        <f t="shared" si="3"/>
        <v>Average</v>
      </c>
    </row>
    <row r="236" spans="1:17" x14ac:dyDescent="0.25">
      <c r="A236" s="3" t="s">
        <v>563</v>
      </c>
      <c r="B236" s="3" t="s">
        <v>564</v>
      </c>
      <c r="C236" s="3" t="s">
        <v>18</v>
      </c>
      <c r="D236" s="3">
        <v>23</v>
      </c>
      <c r="E236" s="3" t="s">
        <v>123</v>
      </c>
      <c r="F236" s="3" t="s">
        <v>124</v>
      </c>
      <c r="G236" s="3" t="s">
        <v>36</v>
      </c>
      <c r="H236" s="3">
        <v>2</v>
      </c>
      <c r="I236" s="4">
        <v>50</v>
      </c>
      <c r="J236" s="3">
        <v>3.2</v>
      </c>
      <c r="K236" s="3" t="b">
        <v>1</v>
      </c>
      <c r="M236" s="3" t="s">
        <v>79</v>
      </c>
      <c r="N236" s="3" t="s">
        <v>67</v>
      </c>
      <c r="O236" s="3">
        <v>2</v>
      </c>
      <c r="P236" s="3">
        <v>1</v>
      </c>
      <c r="Q236" s="3" t="str">
        <f t="shared" si="3"/>
        <v>Average</v>
      </c>
    </row>
    <row r="237" spans="1:17" x14ac:dyDescent="0.25">
      <c r="A237" s="3" t="s">
        <v>565</v>
      </c>
      <c r="B237" s="3" t="s">
        <v>566</v>
      </c>
      <c r="C237" s="3" t="s">
        <v>41</v>
      </c>
      <c r="D237" s="3">
        <v>53</v>
      </c>
      <c r="E237" s="3" t="s">
        <v>123</v>
      </c>
      <c r="F237" s="3" t="s">
        <v>124</v>
      </c>
      <c r="G237" s="3" t="s">
        <v>21</v>
      </c>
      <c r="H237" s="3">
        <v>34</v>
      </c>
      <c r="I237" s="4">
        <v>30</v>
      </c>
      <c r="K237" s="3" t="s">
        <v>85</v>
      </c>
      <c r="M237" s="3" t="s">
        <v>22</v>
      </c>
      <c r="N237" s="3" t="s">
        <v>38</v>
      </c>
      <c r="O237" s="3">
        <v>14</v>
      </c>
      <c r="P237" s="3">
        <v>9</v>
      </c>
      <c r="Q237" s="3" t="str">
        <f t="shared" si="3"/>
        <v>Average</v>
      </c>
    </row>
    <row r="238" spans="1:17" x14ac:dyDescent="0.25">
      <c r="A238" s="3" t="s">
        <v>567</v>
      </c>
      <c r="B238" s="3" t="s">
        <v>568</v>
      </c>
      <c r="C238" s="3" t="s">
        <v>41</v>
      </c>
      <c r="D238" s="3">
        <v>56</v>
      </c>
      <c r="E238" s="3" t="s">
        <v>123</v>
      </c>
      <c r="F238" s="3" t="s">
        <v>124</v>
      </c>
      <c r="G238" s="3" t="s">
        <v>36</v>
      </c>
      <c r="H238" s="3">
        <v>27</v>
      </c>
      <c r="I238" s="4">
        <v>100</v>
      </c>
      <c r="J238" s="3">
        <v>4.7</v>
      </c>
      <c r="K238" s="3" t="b">
        <v>1</v>
      </c>
      <c r="L238" s="3">
        <v>0.69</v>
      </c>
      <c r="M238" s="3" t="s">
        <v>79</v>
      </c>
      <c r="N238" s="3" t="s">
        <v>23</v>
      </c>
      <c r="O238" s="3">
        <v>19</v>
      </c>
      <c r="P238" s="3">
        <v>7</v>
      </c>
      <c r="Q238" s="3" t="str">
        <f t="shared" si="3"/>
        <v>GOOD</v>
      </c>
    </row>
    <row r="239" spans="1:17" x14ac:dyDescent="0.25">
      <c r="A239" s="3" t="s">
        <v>569</v>
      </c>
      <c r="B239" s="3" t="s">
        <v>570</v>
      </c>
      <c r="C239" s="3" t="s">
        <v>103</v>
      </c>
      <c r="D239" s="3">
        <v>27</v>
      </c>
      <c r="E239" s="3" t="s">
        <v>139</v>
      </c>
      <c r="F239" s="3" t="s">
        <v>28</v>
      </c>
      <c r="G239" s="3" t="s">
        <v>51</v>
      </c>
      <c r="H239" s="3">
        <v>4</v>
      </c>
      <c r="I239" s="4">
        <v>75</v>
      </c>
      <c r="J239" s="3">
        <v>5</v>
      </c>
      <c r="K239" s="3">
        <v>0</v>
      </c>
      <c r="L239" s="3">
        <v>0.88</v>
      </c>
      <c r="M239" s="3" t="s">
        <v>53</v>
      </c>
      <c r="N239" s="3" t="s">
        <v>38</v>
      </c>
      <c r="O239" s="3">
        <v>5</v>
      </c>
      <c r="P239" s="3">
        <v>1</v>
      </c>
      <c r="Q239" s="3" t="str">
        <f t="shared" si="3"/>
        <v>GOOD</v>
      </c>
    </row>
    <row r="240" spans="1:17" customFormat="1" hidden="1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s="1" t="s">
        <v>63</v>
      </c>
      <c r="K240" t="b">
        <v>0</v>
      </c>
      <c r="L240">
        <v>0.67</v>
      </c>
      <c r="M240" t="s">
        <v>79</v>
      </c>
      <c r="N240" t="s">
        <v>31</v>
      </c>
      <c r="O240">
        <v>13</v>
      </c>
      <c r="P240">
        <v>9</v>
      </c>
      <c r="Q240" t="str">
        <f t="shared" si="3"/>
        <v>Average</v>
      </c>
    </row>
    <row r="241" spans="1:17" customFormat="1" hidden="1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s="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  <c r="Q241" t="str">
        <f t="shared" si="3"/>
        <v>GOOD</v>
      </c>
    </row>
    <row r="242" spans="1:17" customFormat="1" hidden="1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I242" s="1"/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  <c r="Q242" t="str">
        <f t="shared" si="3"/>
        <v>Average</v>
      </c>
    </row>
    <row r="243" spans="1:17" x14ac:dyDescent="0.25">
      <c r="A243" s="3" t="s">
        <v>577</v>
      </c>
      <c r="B243" s="3" t="s">
        <v>578</v>
      </c>
      <c r="C243" s="3" t="s">
        <v>46</v>
      </c>
      <c r="D243" s="3">
        <v>32</v>
      </c>
      <c r="E243" s="3" t="s">
        <v>190</v>
      </c>
      <c r="F243" s="3" t="s">
        <v>83</v>
      </c>
      <c r="G243" s="3" t="s">
        <v>51</v>
      </c>
      <c r="H243" s="3">
        <v>1</v>
      </c>
      <c r="I243" s="4">
        <v>100</v>
      </c>
      <c r="J243" s="3">
        <v>4.7</v>
      </c>
      <c r="K243" s="3">
        <v>0</v>
      </c>
      <c r="L243" s="3">
        <v>0.67</v>
      </c>
      <c r="M243" s="3" t="s">
        <v>74</v>
      </c>
      <c r="N243" s="3" t="s">
        <v>38</v>
      </c>
      <c r="O243" s="3">
        <v>5</v>
      </c>
      <c r="P243" s="3">
        <v>1</v>
      </c>
      <c r="Q243" s="3" t="str">
        <f t="shared" si="3"/>
        <v>GOOD</v>
      </c>
    </row>
    <row r="244" spans="1:17" x14ac:dyDescent="0.25">
      <c r="A244" s="3" t="s">
        <v>579</v>
      </c>
      <c r="B244" s="3" t="s">
        <v>580</v>
      </c>
      <c r="C244" s="3" t="s">
        <v>18</v>
      </c>
      <c r="D244" s="3">
        <v>21</v>
      </c>
      <c r="E244" s="3" t="s">
        <v>164</v>
      </c>
      <c r="F244" s="3" t="s">
        <v>165</v>
      </c>
      <c r="G244" s="3" t="s">
        <v>125</v>
      </c>
      <c r="H244" s="3">
        <v>2</v>
      </c>
      <c r="I244" s="4">
        <v>20</v>
      </c>
      <c r="J244" s="3">
        <v>2.4</v>
      </c>
      <c r="L244" s="3">
        <v>0.86</v>
      </c>
      <c r="M244" s="3" t="s">
        <v>22</v>
      </c>
      <c r="N244" s="3" t="s">
        <v>23</v>
      </c>
      <c r="O244" s="3">
        <v>4</v>
      </c>
      <c r="P244" s="3">
        <v>2</v>
      </c>
      <c r="Q244" s="3" t="str">
        <f t="shared" si="3"/>
        <v>Average</v>
      </c>
    </row>
    <row r="245" spans="1:17" customFormat="1" hidden="1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I245" s="1"/>
      <c r="J245">
        <v>1.1000000000000001</v>
      </c>
      <c r="K245" t="b">
        <v>0</v>
      </c>
      <c r="L245">
        <v>0.69</v>
      </c>
      <c r="M245" t="s">
        <v>79</v>
      </c>
      <c r="N245" t="s">
        <v>23</v>
      </c>
      <c r="O245">
        <v>3</v>
      </c>
      <c r="P245">
        <v>1</v>
      </c>
      <c r="Q245" t="str">
        <f t="shared" si="3"/>
        <v>Average</v>
      </c>
    </row>
    <row r="246" spans="1:17" x14ac:dyDescent="0.25">
      <c r="A246" s="3" t="s">
        <v>583</v>
      </c>
      <c r="B246" s="3" t="s">
        <v>584</v>
      </c>
      <c r="C246" s="3" t="s">
        <v>26</v>
      </c>
      <c r="D246" s="3">
        <v>35</v>
      </c>
      <c r="E246" s="3" t="s">
        <v>66</v>
      </c>
      <c r="F246" s="3" t="s">
        <v>28</v>
      </c>
      <c r="G246" s="3" t="s">
        <v>29</v>
      </c>
      <c r="H246" s="3">
        <v>10</v>
      </c>
      <c r="I246" s="4">
        <v>50</v>
      </c>
      <c r="J246" s="3">
        <v>1.4</v>
      </c>
      <c r="K246" s="3" t="b">
        <v>1</v>
      </c>
      <c r="L246" s="3">
        <v>0.85</v>
      </c>
      <c r="M246" s="3" t="s">
        <v>79</v>
      </c>
      <c r="N246" s="3" t="s">
        <v>67</v>
      </c>
      <c r="O246" s="3">
        <v>8</v>
      </c>
      <c r="P246" s="3">
        <v>4</v>
      </c>
      <c r="Q246" s="3" t="str">
        <f t="shared" si="3"/>
        <v>Average</v>
      </c>
    </row>
    <row r="247" spans="1:17" x14ac:dyDescent="0.25">
      <c r="A247" s="3" t="s">
        <v>585</v>
      </c>
      <c r="B247" s="3" t="s">
        <v>586</v>
      </c>
      <c r="C247" s="3" t="s">
        <v>18</v>
      </c>
      <c r="D247" s="3">
        <v>47</v>
      </c>
      <c r="E247" s="3" t="s">
        <v>66</v>
      </c>
      <c r="F247" s="3" t="s">
        <v>28</v>
      </c>
      <c r="G247" s="3" t="s">
        <v>84</v>
      </c>
      <c r="H247" s="3">
        <v>18</v>
      </c>
      <c r="I247" s="4">
        <v>40</v>
      </c>
      <c r="J247" s="3">
        <v>3.4</v>
      </c>
      <c r="K247" s="3">
        <v>0</v>
      </c>
      <c r="L247" s="3">
        <v>60</v>
      </c>
      <c r="M247" s="3" t="s">
        <v>22</v>
      </c>
      <c r="N247" s="3" t="s">
        <v>38</v>
      </c>
      <c r="O247" s="3">
        <v>11</v>
      </c>
      <c r="P247" s="3">
        <v>10</v>
      </c>
      <c r="Q247" s="3" t="str">
        <f t="shared" si="3"/>
        <v>Average</v>
      </c>
    </row>
    <row r="248" spans="1:17" x14ac:dyDescent="0.25">
      <c r="A248" s="3" t="s">
        <v>587</v>
      </c>
      <c r="B248" s="3" t="s">
        <v>588</v>
      </c>
      <c r="C248" s="3" t="s">
        <v>18</v>
      </c>
      <c r="D248" s="3">
        <v>41</v>
      </c>
      <c r="E248" s="3" t="s">
        <v>71</v>
      </c>
      <c r="F248" s="3" t="s">
        <v>72</v>
      </c>
      <c r="G248" s="3" t="s">
        <v>21</v>
      </c>
      <c r="H248" s="3">
        <v>4</v>
      </c>
      <c r="I248" s="4">
        <v>40</v>
      </c>
      <c r="J248" s="3">
        <v>2.7</v>
      </c>
      <c r="K248" s="3">
        <v>1</v>
      </c>
      <c r="L248" s="3">
        <v>70</v>
      </c>
      <c r="M248" s="3" t="s">
        <v>22</v>
      </c>
      <c r="N248" s="3" t="s">
        <v>38</v>
      </c>
      <c r="O248" s="3">
        <v>2</v>
      </c>
      <c r="P248" s="3">
        <v>2</v>
      </c>
      <c r="Q248" s="3" t="str">
        <f t="shared" si="3"/>
        <v>Average</v>
      </c>
    </row>
    <row r="249" spans="1:17" customFormat="1" hidden="1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I249" s="1"/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  <c r="Q249" t="str">
        <f t="shared" si="3"/>
        <v>GOOD</v>
      </c>
    </row>
    <row r="250" spans="1:17" x14ac:dyDescent="0.25">
      <c r="A250" s="3" t="s">
        <v>591</v>
      </c>
      <c r="B250" s="3" t="s">
        <v>592</v>
      </c>
      <c r="C250" s="3" t="s">
        <v>56</v>
      </c>
      <c r="D250" s="3">
        <v>34</v>
      </c>
      <c r="E250" s="3" t="s">
        <v>186</v>
      </c>
      <c r="F250" s="3" t="s">
        <v>187</v>
      </c>
      <c r="G250" s="3" t="s">
        <v>59</v>
      </c>
      <c r="H250" s="3">
        <v>6</v>
      </c>
      <c r="I250" s="4">
        <v>75</v>
      </c>
      <c r="J250" s="3">
        <v>1.9</v>
      </c>
      <c r="K250" s="3">
        <v>1</v>
      </c>
      <c r="L250" s="3">
        <v>0.81</v>
      </c>
      <c r="M250" s="3" t="s">
        <v>79</v>
      </c>
      <c r="N250" s="3" t="s">
        <v>38</v>
      </c>
      <c r="O250" s="3">
        <v>9</v>
      </c>
      <c r="P250" s="3">
        <v>6</v>
      </c>
      <c r="Q250" s="3" t="str">
        <f t="shared" si="3"/>
        <v>Average</v>
      </c>
    </row>
    <row r="251" spans="1:17" x14ac:dyDescent="0.25">
      <c r="A251" s="3" t="s">
        <v>593</v>
      </c>
      <c r="B251" s="3" t="s">
        <v>594</v>
      </c>
      <c r="C251" s="3" t="s">
        <v>18</v>
      </c>
      <c r="D251" s="3">
        <v>50</v>
      </c>
      <c r="E251" s="3" t="s">
        <v>104</v>
      </c>
      <c r="F251" s="3" t="s">
        <v>105</v>
      </c>
      <c r="G251" s="3" t="s">
        <v>29</v>
      </c>
      <c r="H251" s="3">
        <v>5</v>
      </c>
      <c r="I251" s="4">
        <v>100</v>
      </c>
      <c r="K251" s="3">
        <v>1</v>
      </c>
      <c r="M251" s="3" t="s">
        <v>79</v>
      </c>
      <c r="N251" s="3" t="s">
        <v>38</v>
      </c>
      <c r="O251" s="3">
        <v>4</v>
      </c>
      <c r="P251" s="3">
        <v>1</v>
      </c>
      <c r="Q251" s="3" t="str">
        <f t="shared" si="3"/>
        <v>Average</v>
      </c>
    </row>
    <row r="252" spans="1:17" customFormat="1" hidden="1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s="1" t="s">
        <v>60</v>
      </c>
      <c r="J252">
        <v>4.5999999999999996</v>
      </c>
      <c r="K252">
        <v>0</v>
      </c>
      <c r="L252">
        <v>0.78</v>
      </c>
      <c r="M252" t="s">
        <v>22</v>
      </c>
      <c r="N252" t="s">
        <v>38</v>
      </c>
      <c r="O252">
        <v>18</v>
      </c>
      <c r="P252">
        <v>13</v>
      </c>
      <c r="Q252" t="str">
        <f t="shared" si="3"/>
        <v>GOOD</v>
      </c>
    </row>
    <row r="253" spans="1:17" x14ac:dyDescent="0.25">
      <c r="A253" s="3" t="s">
        <v>597</v>
      </c>
      <c r="B253" s="3" t="s">
        <v>598</v>
      </c>
      <c r="C253" s="3" t="s">
        <v>103</v>
      </c>
      <c r="D253" s="3">
        <v>43</v>
      </c>
      <c r="E253" s="3" t="s">
        <v>35</v>
      </c>
      <c r="F253" s="3" t="s">
        <v>35</v>
      </c>
      <c r="G253" s="3" t="s">
        <v>84</v>
      </c>
      <c r="H253" s="3">
        <v>6</v>
      </c>
      <c r="I253" s="4">
        <v>50</v>
      </c>
      <c r="J253" s="3">
        <v>0</v>
      </c>
      <c r="K253" s="3">
        <v>0</v>
      </c>
      <c r="L253" s="3">
        <v>81</v>
      </c>
      <c r="M253" s="3" t="s">
        <v>74</v>
      </c>
      <c r="N253" s="3" t="s">
        <v>23</v>
      </c>
      <c r="O253" s="3">
        <v>8</v>
      </c>
      <c r="P253" s="3">
        <v>13</v>
      </c>
      <c r="Q253" s="3" t="str">
        <f t="shared" si="3"/>
        <v>Average</v>
      </c>
    </row>
    <row r="254" spans="1:17" x14ac:dyDescent="0.25">
      <c r="A254" s="3" t="s">
        <v>599</v>
      </c>
      <c r="B254" s="3" t="s">
        <v>600</v>
      </c>
      <c r="C254" s="3" t="s">
        <v>108</v>
      </c>
      <c r="D254" s="3">
        <v>34</v>
      </c>
      <c r="E254" s="3" t="s">
        <v>35</v>
      </c>
      <c r="F254" s="3" t="s">
        <v>35</v>
      </c>
      <c r="G254" s="3" t="s">
        <v>59</v>
      </c>
      <c r="H254" s="3">
        <v>8</v>
      </c>
      <c r="I254" s="4">
        <v>75</v>
      </c>
      <c r="J254" s="3">
        <v>1.8</v>
      </c>
      <c r="K254" s="3">
        <v>1</v>
      </c>
      <c r="L254" s="3">
        <v>0.71</v>
      </c>
      <c r="M254" s="3" t="s">
        <v>79</v>
      </c>
      <c r="N254" s="3" t="s">
        <v>67</v>
      </c>
      <c r="O254" s="3">
        <v>8</v>
      </c>
      <c r="P254" s="3">
        <v>9</v>
      </c>
      <c r="Q254" s="3" t="str">
        <f t="shared" si="3"/>
        <v>Average</v>
      </c>
    </row>
    <row r="255" spans="1:17" x14ac:dyDescent="0.25">
      <c r="A255" s="3" t="s">
        <v>601</v>
      </c>
      <c r="B255" s="3" t="s">
        <v>602</v>
      </c>
      <c r="C255" s="3" t="s">
        <v>108</v>
      </c>
      <c r="D255" s="3">
        <v>24</v>
      </c>
      <c r="E255" s="3" t="s">
        <v>201</v>
      </c>
      <c r="F255" s="3" t="s">
        <v>83</v>
      </c>
      <c r="G255" s="3" t="s">
        <v>29</v>
      </c>
      <c r="H255" s="3">
        <v>3</v>
      </c>
      <c r="I255" s="4">
        <v>75</v>
      </c>
      <c r="J255" s="3">
        <v>2</v>
      </c>
      <c r="K255" s="3" t="b">
        <v>0</v>
      </c>
      <c r="M255" s="3" t="s">
        <v>74</v>
      </c>
      <c r="N255" s="3" t="s">
        <v>31</v>
      </c>
      <c r="O255" s="3">
        <v>2</v>
      </c>
      <c r="P255" s="3">
        <v>1</v>
      </c>
      <c r="Q255" s="3" t="str">
        <f t="shared" si="3"/>
        <v>Average</v>
      </c>
    </row>
    <row r="256" spans="1:17" x14ac:dyDescent="0.25">
      <c r="A256" s="3" t="s">
        <v>603</v>
      </c>
      <c r="B256" s="3" t="s">
        <v>604</v>
      </c>
      <c r="C256" s="3" t="s">
        <v>56</v>
      </c>
      <c r="D256" s="3">
        <v>48</v>
      </c>
      <c r="E256" s="3" t="s">
        <v>164</v>
      </c>
      <c r="F256" s="3" t="s">
        <v>165</v>
      </c>
      <c r="G256" s="3" t="s">
        <v>84</v>
      </c>
      <c r="H256" s="3">
        <v>8</v>
      </c>
      <c r="I256" s="4">
        <v>30</v>
      </c>
      <c r="J256" s="3">
        <v>5</v>
      </c>
      <c r="K256" s="3">
        <v>1</v>
      </c>
      <c r="L256" s="3">
        <v>0.99</v>
      </c>
      <c r="M256" s="3" t="s">
        <v>22</v>
      </c>
      <c r="N256" s="3" t="s">
        <v>67</v>
      </c>
      <c r="O256" s="3">
        <v>6</v>
      </c>
      <c r="P256" s="3">
        <v>9</v>
      </c>
      <c r="Q256" s="3" t="str">
        <f t="shared" si="3"/>
        <v>GOOD</v>
      </c>
    </row>
    <row r="257" spans="1:17" customFormat="1" hidden="1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s="1" t="s">
        <v>132</v>
      </c>
      <c r="J257">
        <v>3.2</v>
      </c>
      <c r="K257" t="b">
        <v>1</v>
      </c>
      <c r="L257">
        <v>0.66</v>
      </c>
      <c r="M257" t="s">
        <v>22</v>
      </c>
      <c r="N257" t="s">
        <v>31</v>
      </c>
      <c r="O257">
        <v>15</v>
      </c>
      <c r="P257">
        <v>6</v>
      </c>
      <c r="Q257" t="str">
        <f t="shared" si="3"/>
        <v>Average</v>
      </c>
    </row>
    <row r="258" spans="1:17" customFormat="1" hidden="1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1" t="s">
        <v>52</v>
      </c>
      <c r="J258">
        <v>2.4</v>
      </c>
      <c r="L258">
        <v>0.8</v>
      </c>
      <c r="M258" t="s">
        <v>53</v>
      </c>
      <c r="N258" t="s">
        <v>38</v>
      </c>
      <c r="O258">
        <v>13</v>
      </c>
      <c r="P258">
        <v>8</v>
      </c>
      <c r="Q258" t="str">
        <f t="shared" ref="Q258:Q321" si="4">IF(J258&lt;3.5,"Average","GOOD")</f>
        <v>Average</v>
      </c>
    </row>
    <row r="259" spans="1:17" x14ac:dyDescent="0.25">
      <c r="A259" s="3" t="s">
        <v>609</v>
      </c>
      <c r="B259" s="3" t="s">
        <v>610</v>
      </c>
      <c r="C259" s="3" t="s">
        <v>26</v>
      </c>
      <c r="D259" s="3">
        <v>44</v>
      </c>
      <c r="E259" s="3" t="s">
        <v>139</v>
      </c>
      <c r="F259" s="3" t="s">
        <v>28</v>
      </c>
      <c r="G259" s="3" t="s">
        <v>42</v>
      </c>
      <c r="H259" s="3">
        <v>21</v>
      </c>
      <c r="I259" s="4">
        <v>100</v>
      </c>
      <c r="J259" s="3">
        <v>2.9</v>
      </c>
      <c r="K259" s="3">
        <v>0</v>
      </c>
      <c r="L259" s="3">
        <v>0.83</v>
      </c>
      <c r="M259" s="3" t="s">
        <v>79</v>
      </c>
      <c r="N259" s="3" t="s">
        <v>67</v>
      </c>
      <c r="O259" s="3">
        <v>17</v>
      </c>
      <c r="P259" s="3">
        <v>1</v>
      </c>
      <c r="Q259" s="3" t="str">
        <f t="shared" si="4"/>
        <v>Average</v>
      </c>
    </row>
    <row r="260" spans="1:17" customFormat="1" hidden="1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s="1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  <c r="Q260" t="str">
        <f t="shared" si="4"/>
        <v>Average</v>
      </c>
    </row>
    <row r="261" spans="1:17" x14ac:dyDescent="0.25">
      <c r="A261" s="3" t="s">
        <v>613</v>
      </c>
      <c r="B261" s="3" t="s">
        <v>614</v>
      </c>
      <c r="C261" s="3" t="s">
        <v>108</v>
      </c>
      <c r="D261" s="3">
        <v>50</v>
      </c>
      <c r="E261" s="3" t="s">
        <v>71</v>
      </c>
      <c r="F261" s="3" t="s">
        <v>72</v>
      </c>
      <c r="G261" s="3" t="s">
        <v>59</v>
      </c>
      <c r="H261" s="3">
        <v>9</v>
      </c>
      <c r="I261" s="4">
        <v>30</v>
      </c>
      <c r="J261" s="3">
        <v>3</v>
      </c>
      <c r="K261" s="3">
        <v>0</v>
      </c>
      <c r="L261" s="3">
        <v>76</v>
      </c>
      <c r="M261" s="3" t="s">
        <v>53</v>
      </c>
      <c r="N261" s="3" t="s">
        <v>23</v>
      </c>
      <c r="O261" s="3">
        <v>15</v>
      </c>
      <c r="P261" s="3">
        <v>3</v>
      </c>
      <c r="Q261" s="3" t="str">
        <f t="shared" si="4"/>
        <v>Average</v>
      </c>
    </row>
    <row r="262" spans="1:17" x14ac:dyDescent="0.25">
      <c r="A262" s="3" t="s">
        <v>615</v>
      </c>
      <c r="B262" s="3" t="s">
        <v>616</v>
      </c>
      <c r="C262" s="3" t="s">
        <v>108</v>
      </c>
      <c r="D262" s="3">
        <v>50</v>
      </c>
      <c r="E262" s="3" t="s">
        <v>201</v>
      </c>
      <c r="F262" s="3" t="s">
        <v>83</v>
      </c>
      <c r="G262" s="3" t="s">
        <v>84</v>
      </c>
      <c r="H262" s="3">
        <v>2</v>
      </c>
      <c r="I262" s="4">
        <v>50</v>
      </c>
      <c r="J262" s="3">
        <v>1.6</v>
      </c>
      <c r="K262" s="3" t="s">
        <v>170</v>
      </c>
      <c r="L262" s="3">
        <v>0.89</v>
      </c>
      <c r="M262" s="3" t="s">
        <v>79</v>
      </c>
      <c r="N262" s="3" t="s">
        <v>23</v>
      </c>
      <c r="O262" s="3">
        <v>3</v>
      </c>
      <c r="P262" s="3">
        <v>1</v>
      </c>
      <c r="Q262" s="3" t="str">
        <f t="shared" si="4"/>
        <v>Average</v>
      </c>
    </row>
    <row r="263" spans="1:17" x14ac:dyDescent="0.25">
      <c r="A263" s="3" t="s">
        <v>617</v>
      </c>
      <c r="B263" s="3" t="s">
        <v>618</v>
      </c>
      <c r="C263" s="3" t="s">
        <v>88</v>
      </c>
      <c r="D263" s="3">
        <v>28</v>
      </c>
      <c r="E263" s="3" t="s">
        <v>146</v>
      </c>
      <c r="F263" s="3" t="s">
        <v>147</v>
      </c>
      <c r="G263" s="3" t="s">
        <v>36</v>
      </c>
      <c r="H263" s="3">
        <v>1</v>
      </c>
      <c r="I263" s="4">
        <v>20</v>
      </c>
      <c r="J263" s="3">
        <v>3.6</v>
      </c>
      <c r="K263" s="3" t="s">
        <v>78</v>
      </c>
      <c r="L263" s="3">
        <v>0.94</v>
      </c>
      <c r="M263" s="3" t="s">
        <v>53</v>
      </c>
      <c r="N263" s="3" t="s">
        <v>67</v>
      </c>
      <c r="O263" s="3">
        <v>3</v>
      </c>
      <c r="P263" s="3">
        <v>1</v>
      </c>
      <c r="Q263" s="3" t="str">
        <f t="shared" si="4"/>
        <v>GOOD</v>
      </c>
    </row>
    <row r="264" spans="1:17" customFormat="1" hidden="1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I264" s="1"/>
      <c r="J264">
        <v>2.1</v>
      </c>
      <c r="K264">
        <v>0</v>
      </c>
      <c r="L264">
        <v>0.68</v>
      </c>
      <c r="M264" t="s">
        <v>22</v>
      </c>
      <c r="N264" t="s">
        <v>67</v>
      </c>
      <c r="O264">
        <v>14</v>
      </c>
      <c r="P264">
        <v>7</v>
      </c>
      <c r="Q264" t="str">
        <f t="shared" si="4"/>
        <v>Average</v>
      </c>
    </row>
    <row r="265" spans="1:17" x14ac:dyDescent="0.25">
      <c r="A265" s="3" t="s">
        <v>621</v>
      </c>
      <c r="B265" s="3" t="s">
        <v>622</v>
      </c>
      <c r="C265" s="3" t="s">
        <v>108</v>
      </c>
      <c r="D265" s="3">
        <v>42</v>
      </c>
      <c r="E265" s="3" t="s">
        <v>35</v>
      </c>
      <c r="F265" s="3" t="s">
        <v>35</v>
      </c>
      <c r="G265" s="3" t="s">
        <v>100</v>
      </c>
      <c r="H265" s="3">
        <v>8</v>
      </c>
      <c r="I265" s="4">
        <v>30</v>
      </c>
      <c r="J265" s="3">
        <v>3.6</v>
      </c>
      <c r="K265" s="3">
        <v>1</v>
      </c>
      <c r="L265" s="3">
        <v>0.96</v>
      </c>
      <c r="M265" s="3" t="s">
        <v>79</v>
      </c>
      <c r="N265" s="3" t="s">
        <v>38</v>
      </c>
      <c r="O265" s="3">
        <v>9</v>
      </c>
      <c r="P265" s="3">
        <v>7</v>
      </c>
      <c r="Q265" s="3" t="str">
        <f t="shared" si="4"/>
        <v>GOOD</v>
      </c>
    </row>
    <row r="266" spans="1:17" customFormat="1" hidden="1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s="1" t="s">
        <v>132</v>
      </c>
      <c r="J266">
        <v>2.7</v>
      </c>
      <c r="K266" t="b">
        <v>1</v>
      </c>
      <c r="L266">
        <v>0.91</v>
      </c>
      <c r="M266" t="s">
        <v>53</v>
      </c>
      <c r="N266" t="s">
        <v>67</v>
      </c>
      <c r="O266">
        <v>6</v>
      </c>
      <c r="P266">
        <v>4</v>
      </c>
      <c r="Q266" t="str">
        <f t="shared" si="4"/>
        <v>Average</v>
      </c>
    </row>
    <row r="267" spans="1:17" x14ac:dyDescent="0.25">
      <c r="A267" s="3" t="s">
        <v>625</v>
      </c>
      <c r="B267" s="3" t="s">
        <v>626</v>
      </c>
      <c r="C267" s="3" t="s">
        <v>108</v>
      </c>
      <c r="D267" s="3">
        <v>21</v>
      </c>
      <c r="E267" s="3" t="s">
        <v>104</v>
      </c>
      <c r="F267" s="3" t="s">
        <v>105</v>
      </c>
      <c r="G267" s="3" t="s">
        <v>21</v>
      </c>
      <c r="H267" s="3">
        <v>1</v>
      </c>
      <c r="I267" s="4">
        <v>100</v>
      </c>
      <c r="J267" s="3">
        <v>2.1</v>
      </c>
      <c r="K267" s="3">
        <v>1</v>
      </c>
      <c r="L267" s="3">
        <v>0.92</v>
      </c>
      <c r="M267" s="3" t="s">
        <v>53</v>
      </c>
      <c r="N267" s="3" t="s">
        <v>38</v>
      </c>
      <c r="O267" s="3">
        <v>5</v>
      </c>
      <c r="P267" s="3">
        <v>4</v>
      </c>
      <c r="Q267" s="3" t="str">
        <f t="shared" si="4"/>
        <v>Average</v>
      </c>
    </row>
    <row r="268" spans="1:17" customFormat="1" hidden="1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s="1" t="s">
        <v>43</v>
      </c>
      <c r="J268">
        <v>4.9000000000000004</v>
      </c>
      <c r="L268">
        <v>0.82</v>
      </c>
      <c r="M268" t="s">
        <v>74</v>
      </c>
      <c r="N268" t="s">
        <v>38</v>
      </c>
      <c r="O268">
        <v>15</v>
      </c>
      <c r="P268">
        <v>15</v>
      </c>
      <c r="Q268" t="str">
        <f t="shared" si="4"/>
        <v>GOOD</v>
      </c>
    </row>
    <row r="269" spans="1:17" x14ac:dyDescent="0.25">
      <c r="A269" s="3" t="s">
        <v>629</v>
      </c>
      <c r="B269" s="3" t="s">
        <v>630</v>
      </c>
      <c r="C269" s="3" t="s">
        <v>41</v>
      </c>
      <c r="D269" s="3">
        <v>22</v>
      </c>
      <c r="E269" s="3" t="s">
        <v>82</v>
      </c>
      <c r="F269" s="3" t="s">
        <v>83</v>
      </c>
      <c r="G269" s="3" t="s">
        <v>51</v>
      </c>
      <c r="H269" s="3">
        <v>2</v>
      </c>
      <c r="I269" s="4">
        <v>30</v>
      </c>
      <c r="J269" s="3">
        <v>2.1</v>
      </c>
      <c r="M269" s="3" t="s">
        <v>53</v>
      </c>
      <c r="N269" s="3" t="s">
        <v>23</v>
      </c>
      <c r="O269" s="3">
        <v>2</v>
      </c>
      <c r="P269" s="3">
        <v>2</v>
      </c>
      <c r="Q269" s="3" t="str">
        <f t="shared" si="4"/>
        <v>Average</v>
      </c>
    </row>
    <row r="270" spans="1:17" x14ac:dyDescent="0.25">
      <c r="A270" s="3" t="s">
        <v>631</v>
      </c>
      <c r="B270" s="3" t="s">
        <v>632</v>
      </c>
      <c r="C270" s="3" t="s">
        <v>88</v>
      </c>
      <c r="D270" s="3">
        <v>39</v>
      </c>
      <c r="E270" s="3" t="s">
        <v>96</v>
      </c>
      <c r="F270" s="3" t="s">
        <v>97</v>
      </c>
      <c r="G270" s="3" t="s">
        <v>42</v>
      </c>
      <c r="H270" s="3">
        <v>21</v>
      </c>
      <c r="I270" s="4">
        <v>100</v>
      </c>
      <c r="J270" s="3">
        <v>0</v>
      </c>
      <c r="K270" s="3" t="s">
        <v>170</v>
      </c>
      <c r="L270" s="3">
        <v>0.91</v>
      </c>
      <c r="M270" s="3" t="s">
        <v>79</v>
      </c>
      <c r="N270" s="3" t="s">
        <v>23</v>
      </c>
      <c r="O270" s="3">
        <v>17</v>
      </c>
      <c r="P270" s="3">
        <v>13</v>
      </c>
      <c r="Q270" s="3" t="str">
        <f t="shared" si="4"/>
        <v>Average</v>
      </c>
    </row>
    <row r="271" spans="1:17" customFormat="1" hidden="1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s="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  <c r="Q271" t="str">
        <f t="shared" si="4"/>
        <v>Average</v>
      </c>
    </row>
    <row r="272" spans="1:17" customFormat="1" hidden="1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I272" s="1"/>
      <c r="K272" t="b">
        <v>0</v>
      </c>
      <c r="L272">
        <v>0.69</v>
      </c>
      <c r="M272" t="s">
        <v>74</v>
      </c>
      <c r="N272" t="s">
        <v>23</v>
      </c>
      <c r="O272">
        <v>12</v>
      </c>
      <c r="P272">
        <v>13</v>
      </c>
      <c r="Q272" t="str">
        <f t="shared" si="4"/>
        <v>Average</v>
      </c>
    </row>
    <row r="273" spans="1:17" customFormat="1" hidden="1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s="1" t="s">
        <v>30</v>
      </c>
      <c r="J273">
        <v>4.7</v>
      </c>
      <c r="K273" t="b">
        <v>1</v>
      </c>
      <c r="L273">
        <v>0.84</v>
      </c>
      <c r="M273" t="s">
        <v>79</v>
      </c>
      <c r="N273" t="s">
        <v>23</v>
      </c>
      <c r="O273">
        <v>7</v>
      </c>
      <c r="P273">
        <v>13</v>
      </c>
      <c r="Q273" t="str">
        <f t="shared" si="4"/>
        <v>GOOD</v>
      </c>
    </row>
    <row r="274" spans="1:17" x14ac:dyDescent="0.25">
      <c r="A274" s="3" t="s">
        <v>639</v>
      </c>
      <c r="B274" s="3" t="s">
        <v>640</v>
      </c>
      <c r="C274" s="3" t="s">
        <v>18</v>
      </c>
      <c r="E274" s="3" t="s">
        <v>77</v>
      </c>
      <c r="F274" s="3" t="s">
        <v>28</v>
      </c>
      <c r="G274" s="3" t="s">
        <v>89</v>
      </c>
      <c r="H274" s="3">
        <v>5</v>
      </c>
      <c r="I274" s="4">
        <v>100</v>
      </c>
      <c r="J274" s="3">
        <v>1.3</v>
      </c>
      <c r="K274" s="3">
        <v>0</v>
      </c>
      <c r="L274" s="3">
        <v>0.6</v>
      </c>
      <c r="M274" s="3" t="s">
        <v>22</v>
      </c>
      <c r="N274" s="3" t="s">
        <v>67</v>
      </c>
      <c r="O274" s="3">
        <v>5</v>
      </c>
      <c r="P274" s="3">
        <v>2</v>
      </c>
      <c r="Q274" s="3" t="str">
        <f t="shared" si="4"/>
        <v>Average</v>
      </c>
    </row>
    <row r="275" spans="1:17" customFormat="1" hidden="1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s="1" t="s">
        <v>60</v>
      </c>
      <c r="J275">
        <v>1.6</v>
      </c>
      <c r="K275">
        <v>1</v>
      </c>
      <c r="L275">
        <v>0.97</v>
      </c>
      <c r="M275" t="s">
        <v>79</v>
      </c>
      <c r="N275" t="s">
        <v>23</v>
      </c>
      <c r="O275">
        <v>13</v>
      </c>
      <c r="P275">
        <v>6</v>
      </c>
      <c r="Q275" t="str">
        <f t="shared" si="4"/>
        <v>Average</v>
      </c>
    </row>
    <row r="276" spans="1:17" x14ac:dyDescent="0.25">
      <c r="A276" s="3" t="s">
        <v>643</v>
      </c>
      <c r="B276" s="3" t="s">
        <v>644</v>
      </c>
      <c r="C276" s="3" t="s">
        <v>108</v>
      </c>
      <c r="D276" s="3">
        <v>59</v>
      </c>
      <c r="E276" s="3" t="s">
        <v>146</v>
      </c>
      <c r="F276" s="3" t="s">
        <v>147</v>
      </c>
      <c r="G276" s="3" t="s">
        <v>42</v>
      </c>
      <c r="H276" s="3">
        <v>21</v>
      </c>
      <c r="I276" s="4">
        <v>100</v>
      </c>
      <c r="J276" s="3">
        <v>0</v>
      </c>
      <c r="L276" s="3">
        <v>0.7</v>
      </c>
      <c r="M276" s="3" t="s">
        <v>79</v>
      </c>
      <c r="N276" s="3" t="s">
        <v>31</v>
      </c>
      <c r="O276" s="3">
        <v>17</v>
      </c>
      <c r="P276" s="3">
        <v>7</v>
      </c>
      <c r="Q276" s="3" t="str">
        <f t="shared" si="4"/>
        <v>Average</v>
      </c>
    </row>
    <row r="277" spans="1:17" customFormat="1" hidden="1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s="1" t="s">
        <v>30</v>
      </c>
      <c r="J277">
        <v>3.6</v>
      </c>
      <c r="K277" t="s">
        <v>170</v>
      </c>
      <c r="L277">
        <v>0.81</v>
      </c>
      <c r="M277" t="s">
        <v>53</v>
      </c>
      <c r="N277" t="s">
        <v>67</v>
      </c>
      <c r="O277">
        <v>5</v>
      </c>
      <c r="P277">
        <v>2</v>
      </c>
      <c r="Q277" t="str">
        <f t="shared" si="4"/>
        <v>GOOD</v>
      </c>
    </row>
    <row r="278" spans="1:17" x14ac:dyDescent="0.25">
      <c r="A278" s="3" t="s">
        <v>647</v>
      </c>
      <c r="B278" s="3" t="s">
        <v>648</v>
      </c>
      <c r="C278" s="3" t="s">
        <v>70</v>
      </c>
      <c r="D278" s="3">
        <v>44</v>
      </c>
      <c r="E278" s="3" t="s">
        <v>135</v>
      </c>
      <c r="F278" s="3" t="s">
        <v>136</v>
      </c>
      <c r="G278" s="3" t="s">
        <v>125</v>
      </c>
      <c r="H278" s="3">
        <v>18</v>
      </c>
      <c r="I278" s="4">
        <v>20</v>
      </c>
      <c r="J278" s="3">
        <v>4.7</v>
      </c>
      <c r="K278" s="3">
        <v>1</v>
      </c>
      <c r="L278" s="3">
        <v>0.88</v>
      </c>
      <c r="M278" s="3" t="s">
        <v>53</v>
      </c>
      <c r="N278" s="3" t="s">
        <v>31</v>
      </c>
      <c r="O278" s="3">
        <v>15</v>
      </c>
      <c r="P278" s="3">
        <v>10</v>
      </c>
      <c r="Q278" s="3" t="str">
        <f t="shared" si="4"/>
        <v>GOOD</v>
      </c>
    </row>
    <row r="279" spans="1:17" customFormat="1" hidden="1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s="1" t="s">
        <v>43</v>
      </c>
      <c r="K279">
        <v>1</v>
      </c>
      <c r="L279">
        <v>1</v>
      </c>
      <c r="M279" t="s">
        <v>79</v>
      </c>
      <c r="N279" t="s">
        <v>23</v>
      </c>
      <c r="O279">
        <v>15</v>
      </c>
      <c r="P279">
        <v>13</v>
      </c>
      <c r="Q279" t="str">
        <f t="shared" si="4"/>
        <v>Average</v>
      </c>
    </row>
    <row r="280" spans="1:17" customFormat="1" hidden="1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I280" s="1"/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  <c r="Q280" t="str">
        <f t="shared" si="4"/>
        <v>Average</v>
      </c>
    </row>
    <row r="281" spans="1:17" customFormat="1" hidden="1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s="1" t="s">
        <v>325</v>
      </c>
      <c r="K281">
        <v>0</v>
      </c>
      <c r="L281">
        <v>0.71</v>
      </c>
      <c r="M281" t="s">
        <v>53</v>
      </c>
      <c r="N281" t="s">
        <v>67</v>
      </c>
      <c r="O281">
        <v>3</v>
      </c>
      <c r="P281">
        <v>5</v>
      </c>
      <c r="Q281" t="str">
        <f t="shared" si="4"/>
        <v>Average</v>
      </c>
    </row>
    <row r="282" spans="1:17" customFormat="1" hidden="1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s="1" t="s">
        <v>132</v>
      </c>
      <c r="J282">
        <v>4.7</v>
      </c>
      <c r="K282" t="s">
        <v>37</v>
      </c>
      <c r="L282">
        <v>0.85</v>
      </c>
      <c r="M282" t="s">
        <v>74</v>
      </c>
      <c r="N282" t="s">
        <v>38</v>
      </c>
      <c r="O282">
        <v>9</v>
      </c>
      <c r="P282">
        <v>3</v>
      </c>
      <c r="Q282" t="str">
        <f t="shared" si="4"/>
        <v>GOOD</v>
      </c>
    </row>
    <row r="283" spans="1:17" x14ac:dyDescent="0.25">
      <c r="A283" s="3" t="s">
        <v>657</v>
      </c>
      <c r="B283" s="3" t="s">
        <v>658</v>
      </c>
      <c r="C283" s="3" t="s">
        <v>18</v>
      </c>
      <c r="D283" s="3">
        <v>48</v>
      </c>
      <c r="E283" s="3" t="s">
        <v>104</v>
      </c>
      <c r="F283" s="3" t="s">
        <v>105</v>
      </c>
      <c r="G283" s="3" t="s">
        <v>29</v>
      </c>
      <c r="H283" s="3">
        <v>6</v>
      </c>
      <c r="I283" s="4">
        <v>30</v>
      </c>
      <c r="K283" s="3" t="s">
        <v>37</v>
      </c>
      <c r="L283" s="3">
        <v>0.96</v>
      </c>
      <c r="M283" s="3" t="s">
        <v>79</v>
      </c>
      <c r="N283" s="3" t="s">
        <v>31</v>
      </c>
      <c r="O283" s="3">
        <v>11</v>
      </c>
      <c r="P283" s="3">
        <v>7</v>
      </c>
      <c r="Q283" s="3" t="str">
        <f t="shared" si="4"/>
        <v>Average</v>
      </c>
    </row>
    <row r="284" spans="1:17" customFormat="1" hidden="1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s="1" t="s">
        <v>325</v>
      </c>
      <c r="J284">
        <v>2.4</v>
      </c>
      <c r="K284" t="s">
        <v>85</v>
      </c>
      <c r="L284">
        <v>0.92</v>
      </c>
      <c r="M284" t="s">
        <v>79</v>
      </c>
      <c r="N284" t="s">
        <v>31</v>
      </c>
      <c r="O284">
        <v>11</v>
      </c>
      <c r="P284">
        <v>6</v>
      </c>
      <c r="Q284" t="str">
        <f t="shared" si="4"/>
        <v>Average</v>
      </c>
    </row>
    <row r="285" spans="1:17" x14ac:dyDescent="0.25">
      <c r="A285" s="3" t="s">
        <v>661</v>
      </c>
      <c r="B285" s="3" t="s">
        <v>662</v>
      </c>
      <c r="C285" s="3" t="s">
        <v>103</v>
      </c>
      <c r="D285" s="3">
        <v>52</v>
      </c>
      <c r="E285" s="3" t="s">
        <v>123</v>
      </c>
      <c r="F285" s="3" t="s">
        <v>124</v>
      </c>
      <c r="G285" s="3" t="s">
        <v>89</v>
      </c>
      <c r="H285" s="3">
        <v>20</v>
      </c>
      <c r="I285" s="4">
        <v>50</v>
      </c>
      <c r="K285" s="3" t="b">
        <v>0</v>
      </c>
      <c r="L285" s="3">
        <v>0.79</v>
      </c>
      <c r="M285" s="3" t="s">
        <v>22</v>
      </c>
      <c r="N285" s="3" t="s">
        <v>67</v>
      </c>
      <c r="O285" s="3">
        <v>14</v>
      </c>
      <c r="P285" s="3">
        <v>10</v>
      </c>
      <c r="Q285" s="3" t="str">
        <f t="shared" si="4"/>
        <v>Average</v>
      </c>
    </row>
    <row r="286" spans="1:17" x14ac:dyDescent="0.25">
      <c r="A286" s="3" t="s">
        <v>663</v>
      </c>
      <c r="B286" s="3" t="s">
        <v>664</v>
      </c>
      <c r="C286" s="3" t="s">
        <v>46</v>
      </c>
      <c r="D286" s="3">
        <v>55</v>
      </c>
      <c r="E286" s="3" t="s">
        <v>96</v>
      </c>
      <c r="F286" s="3" t="s">
        <v>97</v>
      </c>
      <c r="G286" s="3" t="s">
        <v>42</v>
      </c>
      <c r="H286" s="3">
        <v>20</v>
      </c>
      <c r="I286" s="4">
        <v>75</v>
      </c>
      <c r="J286" s="3">
        <v>2.9</v>
      </c>
      <c r="K286" s="3" t="b">
        <v>0</v>
      </c>
      <c r="M286" s="3" t="s">
        <v>53</v>
      </c>
      <c r="N286" s="3" t="s">
        <v>67</v>
      </c>
      <c r="O286" s="3">
        <v>12</v>
      </c>
      <c r="P286" s="3">
        <v>11</v>
      </c>
      <c r="Q286" s="3" t="str">
        <f t="shared" si="4"/>
        <v>Average</v>
      </c>
    </row>
    <row r="287" spans="1:17" x14ac:dyDescent="0.25">
      <c r="A287" s="3" t="s">
        <v>665</v>
      </c>
      <c r="B287" s="3" t="s">
        <v>666</v>
      </c>
      <c r="C287" s="3" t="s">
        <v>18</v>
      </c>
      <c r="D287" s="3">
        <v>58</v>
      </c>
      <c r="E287" s="3" t="s">
        <v>164</v>
      </c>
      <c r="F287" s="3" t="s">
        <v>165</v>
      </c>
      <c r="G287" s="3" t="s">
        <v>89</v>
      </c>
      <c r="H287" s="3">
        <v>11</v>
      </c>
      <c r="I287" s="4">
        <v>50</v>
      </c>
      <c r="J287" s="3">
        <v>0</v>
      </c>
      <c r="K287" s="3">
        <v>0</v>
      </c>
      <c r="M287" s="3" t="s">
        <v>79</v>
      </c>
      <c r="N287" s="3" t="s">
        <v>31</v>
      </c>
      <c r="O287" s="3">
        <v>8</v>
      </c>
      <c r="P287" s="3">
        <v>5</v>
      </c>
      <c r="Q287" s="3" t="str">
        <f t="shared" si="4"/>
        <v>Average</v>
      </c>
    </row>
    <row r="288" spans="1:17" x14ac:dyDescent="0.25">
      <c r="A288" s="3" t="s">
        <v>667</v>
      </c>
      <c r="B288" s="3" t="s">
        <v>668</v>
      </c>
      <c r="C288" s="3" t="s">
        <v>26</v>
      </c>
      <c r="D288" s="3">
        <v>46</v>
      </c>
      <c r="E288" s="3" t="s">
        <v>123</v>
      </c>
      <c r="F288" s="3" t="s">
        <v>124</v>
      </c>
      <c r="G288" s="3" t="s">
        <v>125</v>
      </c>
      <c r="H288" s="3">
        <v>12</v>
      </c>
      <c r="I288" s="4">
        <v>20</v>
      </c>
      <c r="J288" s="3">
        <v>0</v>
      </c>
      <c r="K288" s="3" t="b">
        <v>0</v>
      </c>
      <c r="L288" s="3">
        <v>0.89</v>
      </c>
      <c r="M288" s="3" t="s">
        <v>22</v>
      </c>
      <c r="N288" s="3" t="s">
        <v>23</v>
      </c>
      <c r="O288" s="3">
        <v>10</v>
      </c>
      <c r="P288" s="3">
        <v>4</v>
      </c>
      <c r="Q288" s="3" t="str">
        <f t="shared" si="4"/>
        <v>Average</v>
      </c>
    </row>
    <row r="289" spans="1:17" x14ac:dyDescent="0.25">
      <c r="A289" s="3" t="s">
        <v>669</v>
      </c>
      <c r="B289" s="3" t="s">
        <v>670</v>
      </c>
      <c r="C289" s="3" t="s">
        <v>26</v>
      </c>
      <c r="D289" s="3">
        <v>45</v>
      </c>
      <c r="E289" s="3" t="s">
        <v>201</v>
      </c>
      <c r="F289" s="3" t="s">
        <v>83</v>
      </c>
      <c r="G289" s="3" t="s">
        <v>125</v>
      </c>
      <c r="H289" s="3">
        <v>1</v>
      </c>
      <c r="I289" s="4">
        <v>100</v>
      </c>
      <c r="J289" s="3">
        <v>1.5</v>
      </c>
      <c r="K289" s="3">
        <v>1</v>
      </c>
      <c r="L289" s="3">
        <v>1</v>
      </c>
      <c r="M289" s="3" t="s">
        <v>53</v>
      </c>
      <c r="N289" s="3" t="s">
        <v>31</v>
      </c>
      <c r="O289" s="3">
        <v>4</v>
      </c>
      <c r="P289" s="3">
        <v>4</v>
      </c>
      <c r="Q289" s="3" t="str">
        <f t="shared" si="4"/>
        <v>Average</v>
      </c>
    </row>
    <row r="290" spans="1:17" x14ac:dyDescent="0.25">
      <c r="A290" s="3" t="s">
        <v>671</v>
      </c>
      <c r="B290" s="3" t="s">
        <v>672</v>
      </c>
      <c r="C290" s="3" t="s">
        <v>26</v>
      </c>
      <c r="D290" s="3">
        <v>56</v>
      </c>
      <c r="E290" s="3" t="s">
        <v>104</v>
      </c>
      <c r="F290" s="3" t="s">
        <v>105</v>
      </c>
      <c r="G290" s="3" t="s">
        <v>125</v>
      </c>
      <c r="H290" s="3">
        <v>2</v>
      </c>
      <c r="I290" s="4">
        <v>30</v>
      </c>
      <c r="J290" s="3">
        <v>1.9</v>
      </c>
      <c r="K290" s="3">
        <v>1</v>
      </c>
      <c r="L290" s="3">
        <v>0.81</v>
      </c>
      <c r="M290" s="3" t="s">
        <v>79</v>
      </c>
      <c r="N290" s="3" t="s">
        <v>67</v>
      </c>
      <c r="O290" s="3">
        <v>1</v>
      </c>
      <c r="P290" s="3">
        <v>1</v>
      </c>
      <c r="Q290" s="3" t="str">
        <f t="shared" si="4"/>
        <v>Average</v>
      </c>
    </row>
    <row r="291" spans="1:17" x14ac:dyDescent="0.25">
      <c r="A291" s="3" t="s">
        <v>673</v>
      </c>
      <c r="B291" s="3" t="s">
        <v>674</v>
      </c>
      <c r="C291" s="3" t="s">
        <v>34</v>
      </c>
      <c r="D291" s="3">
        <v>44</v>
      </c>
      <c r="E291" s="3" t="s">
        <v>77</v>
      </c>
      <c r="F291" s="3" t="s">
        <v>28</v>
      </c>
      <c r="G291" s="3" t="s">
        <v>21</v>
      </c>
      <c r="H291" s="3">
        <v>13</v>
      </c>
      <c r="I291" s="4">
        <v>100</v>
      </c>
      <c r="J291" s="3">
        <v>3.1</v>
      </c>
      <c r="K291" s="3" t="s">
        <v>85</v>
      </c>
      <c r="L291" s="3">
        <v>95</v>
      </c>
      <c r="M291" s="3" t="s">
        <v>79</v>
      </c>
      <c r="N291" s="3" t="s">
        <v>38</v>
      </c>
      <c r="O291" s="3">
        <v>10</v>
      </c>
      <c r="P291" s="3">
        <v>3</v>
      </c>
      <c r="Q291" s="3" t="str">
        <f t="shared" si="4"/>
        <v>Average</v>
      </c>
    </row>
    <row r="292" spans="1:17" customFormat="1" hidden="1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I292" s="1"/>
      <c r="J292">
        <v>1.8</v>
      </c>
      <c r="K292" t="s">
        <v>37</v>
      </c>
      <c r="L292">
        <v>0.88</v>
      </c>
      <c r="M292" t="s">
        <v>53</v>
      </c>
      <c r="N292" t="s">
        <v>38</v>
      </c>
      <c r="O292">
        <v>3</v>
      </c>
      <c r="P292">
        <v>2</v>
      </c>
      <c r="Q292" t="str">
        <f t="shared" si="4"/>
        <v>Average</v>
      </c>
    </row>
    <row r="293" spans="1:17" x14ac:dyDescent="0.25">
      <c r="A293" s="3" t="s">
        <v>677</v>
      </c>
      <c r="B293" s="3" t="s">
        <v>678</v>
      </c>
      <c r="C293" s="3" t="s">
        <v>88</v>
      </c>
      <c r="D293" s="3">
        <v>27</v>
      </c>
      <c r="E293" s="3" t="s">
        <v>96</v>
      </c>
      <c r="F293" s="3" t="s">
        <v>97</v>
      </c>
      <c r="G293" s="3" t="s">
        <v>42</v>
      </c>
      <c r="H293" s="3">
        <v>7</v>
      </c>
      <c r="I293" s="4">
        <v>30</v>
      </c>
      <c r="J293" s="3">
        <v>2.4</v>
      </c>
      <c r="K293" s="3" t="s">
        <v>78</v>
      </c>
      <c r="L293" s="3">
        <v>0.66</v>
      </c>
      <c r="M293" s="3" t="s">
        <v>53</v>
      </c>
      <c r="N293" s="3" t="s">
        <v>23</v>
      </c>
      <c r="O293" s="3">
        <v>12</v>
      </c>
      <c r="P293" s="3">
        <v>8</v>
      </c>
      <c r="Q293" s="3" t="str">
        <f t="shared" si="4"/>
        <v>Average</v>
      </c>
    </row>
    <row r="294" spans="1:17" x14ac:dyDescent="0.25">
      <c r="A294" s="3" t="s">
        <v>679</v>
      </c>
      <c r="B294" s="3" t="s">
        <v>680</v>
      </c>
      <c r="C294" s="3" t="s">
        <v>26</v>
      </c>
      <c r="D294" s="3">
        <v>49</v>
      </c>
      <c r="E294" s="3" t="s">
        <v>104</v>
      </c>
      <c r="F294" s="3" t="s">
        <v>105</v>
      </c>
      <c r="G294" s="3" t="s">
        <v>21</v>
      </c>
      <c r="H294" s="3">
        <v>13</v>
      </c>
      <c r="I294" s="4">
        <v>100</v>
      </c>
      <c r="J294" s="3">
        <v>4.2</v>
      </c>
      <c r="K294" s="3">
        <v>1</v>
      </c>
      <c r="L294" s="3">
        <v>0.84</v>
      </c>
      <c r="M294" s="3" t="s">
        <v>53</v>
      </c>
      <c r="N294" s="3" t="s">
        <v>31</v>
      </c>
      <c r="O294" s="3">
        <v>7</v>
      </c>
      <c r="P294" s="3">
        <v>4</v>
      </c>
      <c r="Q294" s="3" t="str">
        <f t="shared" si="4"/>
        <v>GOOD</v>
      </c>
    </row>
    <row r="295" spans="1:17" customFormat="1" hidden="1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s="1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  <c r="Q295" t="str">
        <f t="shared" si="4"/>
        <v>Average</v>
      </c>
    </row>
    <row r="296" spans="1:17" x14ac:dyDescent="0.25">
      <c r="A296" s="3" t="s">
        <v>683</v>
      </c>
      <c r="B296" s="3" t="s">
        <v>684</v>
      </c>
      <c r="C296" s="3" t="s">
        <v>108</v>
      </c>
      <c r="D296" s="3">
        <v>56</v>
      </c>
      <c r="E296" s="3" t="s">
        <v>27</v>
      </c>
      <c r="F296" s="3" t="s">
        <v>28</v>
      </c>
      <c r="G296" s="3" t="s">
        <v>42</v>
      </c>
      <c r="H296" s="3">
        <v>19</v>
      </c>
      <c r="I296" s="4">
        <v>40</v>
      </c>
      <c r="J296" s="3">
        <v>1.2</v>
      </c>
      <c r="K296" s="3" t="s">
        <v>85</v>
      </c>
      <c r="L296" s="3">
        <v>0.82</v>
      </c>
      <c r="M296" s="3" t="s">
        <v>79</v>
      </c>
      <c r="N296" s="3" t="s">
        <v>31</v>
      </c>
      <c r="O296" s="3">
        <v>11</v>
      </c>
      <c r="P296" s="3">
        <v>3</v>
      </c>
      <c r="Q296" s="3" t="str">
        <f t="shared" si="4"/>
        <v>Average</v>
      </c>
    </row>
    <row r="297" spans="1:17" customFormat="1" hidden="1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I297" s="1"/>
      <c r="J297">
        <v>2.1</v>
      </c>
      <c r="K297" t="s">
        <v>78</v>
      </c>
      <c r="L297">
        <v>0.84</v>
      </c>
      <c r="M297" t="s">
        <v>22</v>
      </c>
      <c r="N297" t="s">
        <v>67</v>
      </c>
      <c r="O297">
        <v>17</v>
      </c>
      <c r="P297">
        <v>11</v>
      </c>
      <c r="Q297" t="str">
        <f t="shared" si="4"/>
        <v>Average</v>
      </c>
    </row>
    <row r="298" spans="1:17" x14ac:dyDescent="0.25">
      <c r="A298" s="3" t="s">
        <v>687</v>
      </c>
      <c r="B298" s="3" t="s">
        <v>688</v>
      </c>
      <c r="C298" s="3" t="s">
        <v>70</v>
      </c>
      <c r="D298" s="3">
        <v>38</v>
      </c>
      <c r="E298" s="3" t="s">
        <v>164</v>
      </c>
      <c r="F298" s="3" t="s">
        <v>165</v>
      </c>
      <c r="G298" s="3" t="s">
        <v>59</v>
      </c>
      <c r="H298" s="3">
        <v>3</v>
      </c>
      <c r="I298" s="4">
        <v>100</v>
      </c>
      <c r="J298" s="3">
        <v>1.4</v>
      </c>
      <c r="K298" s="3" t="b">
        <v>0</v>
      </c>
      <c r="L298" s="3">
        <v>0.73</v>
      </c>
      <c r="M298" s="3" t="s">
        <v>74</v>
      </c>
      <c r="N298" s="3" t="s">
        <v>38</v>
      </c>
      <c r="O298" s="3">
        <v>3</v>
      </c>
      <c r="P298" s="3">
        <v>5</v>
      </c>
      <c r="Q298" s="3" t="str">
        <f t="shared" si="4"/>
        <v>Average</v>
      </c>
    </row>
    <row r="299" spans="1:17" x14ac:dyDescent="0.25">
      <c r="A299" s="3" t="s">
        <v>689</v>
      </c>
      <c r="B299" s="3" t="s">
        <v>690</v>
      </c>
      <c r="C299" s="3" t="s">
        <v>103</v>
      </c>
      <c r="D299" s="3">
        <v>20</v>
      </c>
      <c r="E299" s="3" t="s">
        <v>123</v>
      </c>
      <c r="F299" s="3" t="s">
        <v>124</v>
      </c>
      <c r="G299" s="3" t="s">
        <v>29</v>
      </c>
      <c r="H299" s="3">
        <v>0</v>
      </c>
      <c r="I299" s="4">
        <v>30</v>
      </c>
      <c r="J299" s="3">
        <v>3.8</v>
      </c>
      <c r="L299" s="3">
        <v>0.93</v>
      </c>
      <c r="M299" s="3" t="s">
        <v>53</v>
      </c>
      <c r="N299" s="3" t="s">
        <v>23</v>
      </c>
      <c r="O299" s="3">
        <v>5</v>
      </c>
      <c r="P299" s="3">
        <v>2</v>
      </c>
      <c r="Q299" s="3" t="str">
        <f t="shared" si="4"/>
        <v>GOOD</v>
      </c>
    </row>
    <row r="300" spans="1:17" x14ac:dyDescent="0.25">
      <c r="A300" s="3" t="s">
        <v>691</v>
      </c>
      <c r="B300" s="3" t="s">
        <v>692</v>
      </c>
      <c r="C300" s="3" t="s">
        <v>46</v>
      </c>
      <c r="D300" s="3">
        <v>38</v>
      </c>
      <c r="E300" s="3" t="s">
        <v>139</v>
      </c>
      <c r="F300" s="3" t="s">
        <v>28</v>
      </c>
      <c r="G300" s="3" t="s">
        <v>125</v>
      </c>
      <c r="H300" s="3">
        <v>20</v>
      </c>
      <c r="I300" s="4">
        <v>50</v>
      </c>
      <c r="J300" s="3">
        <v>0</v>
      </c>
      <c r="L300" s="3">
        <v>0.64</v>
      </c>
      <c r="M300" s="3" t="s">
        <v>79</v>
      </c>
      <c r="N300" s="3" t="s">
        <v>67</v>
      </c>
      <c r="O300" s="3">
        <v>10</v>
      </c>
      <c r="P300" s="3">
        <v>2</v>
      </c>
      <c r="Q300" s="3" t="str">
        <f t="shared" si="4"/>
        <v>Average</v>
      </c>
    </row>
    <row r="301" spans="1:17" x14ac:dyDescent="0.25">
      <c r="A301" s="3" t="s">
        <v>693</v>
      </c>
      <c r="B301" s="3" t="s">
        <v>694</v>
      </c>
      <c r="C301" s="3" t="s">
        <v>18</v>
      </c>
      <c r="E301" s="3" t="s">
        <v>49</v>
      </c>
      <c r="F301" s="3" t="s">
        <v>50</v>
      </c>
      <c r="G301" s="3" t="s">
        <v>29</v>
      </c>
      <c r="H301" s="3">
        <v>6</v>
      </c>
      <c r="I301" s="4">
        <v>40</v>
      </c>
      <c r="J301" s="3">
        <v>3.5</v>
      </c>
      <c r="K301" s="3">
        <v>0</v>
      </c>
      <c r="L301" s="3">
        <v>0.76</v>
      </c>
      <c r="M301" s="3" t="s">
        <v>79</v>
      </c>
      <c r="N301" s="3" t="s">
        <v>23</v>
      </c>
      <c r="O301" s="3">
        <v>15</v>
      </c>
      <c r="P301" s="3">
        <v>6</v>
      </c>
      <c r="Q301" s="3" t="str">
        <f t="shared" si="4"/>
        <v>GOOD</v>
      </c>
    </row>
    <row r="302" spans="1:17" customFormat="1" hidden="1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s="1" t="s">
        <v>240</v>
      </c>
      <c r="J302">
        <v>0</v>
      </c>
      <c r="K302" t="s">
        <v>85</v>
      </c>
      <c r="L302">
        <v>0.97</v>
      </c>
      <c r="M302" t="s">
        <v>53</v>
      </c>
      <c r="N302" t="s">
        <v>67</v>
      </c>
      <c r="O302">
        <v>9</v>
      </c>
      <c r="P302">
        <v>12</v>
      </c>
      <c r="Q302" t="str">
        <f t="shared" si="4"/>
        <v>Average</v>
      </c>
    </row>
    <row r="303" spans="1:17" x14ac:dyDescent="0.25">
      <c r="A303" s="3" t="s">
        <v>697</v>
      </c>
      <c r="B303" s="3" t="s">
        <v>698</v>
      </c>
      <c r="C303" s="3" t="s">
        <v>108</v>
      </c>
      <c r="D303" s="3">
        <v>36</v>
      </c>
      <c r="E303" s="3" t="s">
        <v>164</v>
      </c>
      <c r="F303" s="3" t="s">
        <v>165</v>
      </c>
      <c r="G303" s="3" t="s">
        <v>59</v>
      </c>
      <c r="H303" s="3">
        <v>9</v>
      </c>
      <c r="I303" s="4">
        <v>75</v>
      </c>
      <c r="J303" s="3">
        <v>2.2000000000000002</v>
      </c>
      <c r="K303" s="3">
        <v>0</v>
      </c>
      <c r="L303" s="3">
        <v>0.95</v>
      </c>
      <c r="M303" s="3" t="s">
        <v>74</v>
      </c>
      <c r="N303" s="3" t="s">
        <v>38</v>
      </c>
      <c r="O303" s="3">
        <v>11</v>
      </c>
      <c r="P303" s="3">
        <v>1</v>
      </c>
      <c r="Q303" s="3" t="str">
        <f t="shared" si="4"/>
        <v>Average</v>
      </c>
    </row>
    <row r="304" spans="1:17" x14ac:dyDescent="0.25">
      <c r="A304" s="3" t="s">
        <v>699</v>
      </c>
      <c r="B304" s="3" t="s">
        <v>700</v>
      </c>
      <c r="C304" s="3" t="s">
        <v>108</v>
      </c>
      <c r="D304" s="3">
        <v>33</v>
      </c>
      <c r="E304" s="3" t="s">
        <v>135</v>
      </c>
      <c r="F304" s="3" t="s">
        <v>136</v>
      </c>
      <c r="G304" s="3" t="s">
        <v>42</v>
      </c>
      <c r="H304" s="3">
        <v>2</v>
      </c>
      <c r="I304" s="4">
        <v>75</v>
      </c>
      <c r="J304" s="3">
        <v>2.5</v>
      </c>
      <c r="K304" s="3" t="b">
        <v>0</v>
      </c>
      <c r="L304" s="3">
        <v>0.65</v>
      </c>
      <c r="M304" s="3" t="s">
        <v>53</v>
      </c>
      <c r="N304" s="3" t="s">
        <v>23</v>
      </c>
      <c r="O304" s="3">
        <v>4</v>
      </c>
      <c r="P304" s="3">
        <v>1</v>
      </c>
      <c r="Q304" s="3" t="str">
        <f t="shared" si="4"/>
        <v>Average</v>
      </c>
    </row>
    <row r="305" spans="1:17" customFormat="1" hidden="1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s="1" t="s">
        <v>109</v>
      </c>
      <c r="J305">
        <v>4.7</v>
      </c>
      <c r="K305">
        <v>0</v>
      </c>
      <c r="L305">
        <v>0.77</v>
      </c>
      <c r="M305" t="s">
        <v>74</v>
      </c>
      <c r="N305" t="s">
        <v>23</v>
      </c>
      <c r="O305">
        <v>3</v>
      </c>
      <c r="P305">
        <v>2</v>
      </c>
      <c r="Q305" t="str">
        <f t="shared" si="4"/>
        <v>GOOD</v>
      </c>
    </row>
    <row r="306" spans="1:17" x14ac:dyDescent="0.25">
      <c r="A306" s="3" t="s">
        <v>703</v>
      </c>
      <c r="B306" s="3" t="s">
        <v>704</v>
      </c>
      <c r="C306" s="3" t="s">
        <v>108</v>
      </c>
      <c r="D306" s="3">
        <v>20</v>
      </c>
      <c r="E306" s="3" t="s">
        <v>150</v>
      </c>
      <c r="F306" s="3" t="s">
        <v>151</v>
      </c>
      <c r="G306" s="3" t="s">
        <v>59</v>
      </c>
      <c r="H306" s="3">
        <v>0</v>
      </c>
      <c r="I306" s="4">
        <v>20</v>
      </c>
      <c r="J306" s="3">
        <v>3.9</v>
      </c>
      <c r="K306" s="3" t="b">
        <v>0</v>
      </c>
      <c r="M306" s="3" t="s">
        <v>79</v>
      </c>
      <c r="N306" s="3" t="s">
        <v>67</v>
      </c>
      <c r="O306" s="3">
        <v>1</v>
      </c>
      <c r="P306" s="3">
        <v>1</v>
      </c>
      <c r="Q306" s="3" t="str">
        <f t="shared" si="4"/>
        <v>GOOD</v>
      </c>
    </row>
    <row r="307" spans="1:17" x14ac:dyDescent="0.25">
      <c r="A307" s="3" t="s">
        <v>705</v>
      </c>
      <c r="B307" s="3" t="s">
        <v>706</v>
      </c>
      <c r="C307" s="3" t="s">
        <v>26</v>
      </c>
      <c r="D307" s="3">
        <v>48</v>
      </c>
      <c r="E307" s="3" t="s">
        <v>186</v>
      </c>
      <c r="F307" s="3" t="s">
        <v>187</v>
      </c>
      <c r="G307" s="3" t="s">
        <v>59</v>
      </c>
      <c r="H307" s="3">
        <v>2</v>
      </c>
      <c r="I307" s="4">
        <v>75</v>
      </c>
      <c r="J307" s="3">
        <v>1.6</v>
      </c>
      <c r="K307" s="3" t="s">
        <v>37</v>
      </c>
      <c r="L307" s="3">
        <v>0.67</v>
      </c>
      <c r="M307" s="3" t="s">
        <v>74</v>
      </c>
      <c r="N307" s="3" t="s">
        <v>23</v>
      </c>
      <c r="O307" s="3">
        <v>5</v>
      </c>
      <c r="P307" s="3">
        <v>2</v>
      </c>
      <c r="Q307" s="3" t="str">
        <f t="shared" si="4"/>
        <v>Average</v>
      </c>
    </row>
    <row r="308" spans="1:17" customFormat="1" hidden="1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s="1" t="s">
        <v>73</v>
      </c>
      <c r="K308">
        <v>0</v>
      </c>
      <c r="L308">
        <v>0.84</v>
      </c>
      <c r="M308" t="s">
        <v>22</v>
      </c>
      <c r="N308" t="s">
        <v>67</v>
      </c>
      <c r="O308">
        <v>2</v>
      </c>
      <c r="P308">
        <v>3</v>
      </c>
      <c r="Q308" t="str">
        <f t="shared" si="4"/>
        <v>Average</v>
      </c>
    </row>
    <row r="309" spans="1:17" x14ac:dyDescent="0.25">
      <c r="A309" s="3" t="s">
        <v>709</v>
      </c>
      <c r="B309" s="3" t="s">
        <v>710</v>
      </c>
      <c r="C309" s="3" t="s">
        <v>103</v>
      </c>
      <c r="D309" s="3">
        <v>34</v>
      </c>
      <c r="E309" s="3" t="s">
        <v>123</v>
      </c>
      <c r="F309" s="3" t="s">
        <v>124</v>
      </c>
      <c r="G309" s="3" t="s">
        <v>29</v>
      </c>
      <c r="H309" s="3">
        <v>1</v>
      </c>
      <c r="I309" s="4">
        <v>30</v>
      </c>
      <c r="J309" s="3">
        <v>3.6</v>
      </c>
      <c r="K309" s="3">
        <v>1</v>
      </c>
      <c r="L309" s="3">
        <v>0.87</v>
      </c>
      <c r="M309" s="3" t="s">
        <v>79</v>
      </c>
      <c r="N309" s="3" t="s">
        <v>67</v>
      </c>
      <c r="O309" s="3">
        <v>2</v>
      </c>
      <c r="P309" s="3">
        <v>2</v>
      </c>
      <c r="Q309" s="3" t="str">
        <f t="shared" si="4"/>
        <v>GOOD</v>
      </c>
    </row>
    <row r="310" spans="1:17" customFormat="1" hidden="1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s="1" t="s">
        <v>120</v>
      </c>
      <c r="J310">
        <v>1.2</v>
      </c>
      <c r="K310" t="s">
        <v>78</v>
      </c>
      <c r="L310">
        <v>0.91</v>
      </c>
      <c r="M310" t="s">
        <v>22</v>
      </c>
      <c r="N310" t="s">
        <v>67</v>
      </c>
      <c r="O310">
        <v>7</v>
      </c>
      <c r="P310">
        <v>6</v>
      </c>
      <c r="Q310" t="str">
        <f t="shared" si="4"/>
        <v>Average</v>
      </c>
    </row>
    <row r="311" spans="1:17" customFormat="1" hidden="1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s="1" t="s">
        <v>60</v>
      </c>
      <c r="J311">
        <v>3</v>
      </c>
      <c r="K311">
        <v>0</v>
      </c>
      <c r="L311">
        <v>0.78</v>
      </c>
      <c r="M311" t="s">
        <v>53</v>
      </c>
      <c r="N311" t="s">
        <v>67</v>
      </c>
      <c r="O311">
        <v>13</v>
      </c>
      <c r="P311">
        <v>6</v>
      </c>
      <c r="Q311" t="str">
        <f t="shared" si="4"/>
        <v>Average</v>
      </c>
    </row>
    <row r="312" spans="1:17" x14ac:dyDescent="0.25">
      <c r="A312" s="3" t="s">
        <v>715</v>
      </c>
      <c r="B312" s="3" t="s">
        <v>716</v>
      </c>
      <c r="C312" s="3" t="s">
        <v>34</v>
      </c>
      <c r="D312" s="3">
        <v>31</v>
      </c>
      <c r="E312" s="3" t="s">
        <v>49</v>
      </c>
      <c r="F312" s="3" t="s">
        <v>50</v>
      </c>
      <c r="G312" s="3" t="s">
        <v>84</v>
      </c>
      <c r="H312" s="3">
        <v>2</v>
      </c>
      <c r="I312" s="4">
        <v>50</v>
      </c>
      <c r="J312" s="3">
        <v>3.9</v>
      </c>
      <c r="K312" s="3">
        <v>0</v>
      </c>
      <c r="M312" s="3" t="s">
        <v>53</v>
      </c>
      <c r="N312" s="3" t="s">
        <v>38</v>
      </c>
      <c r="O312" s="3">
        <v>4</v>
      </c>
      <c r="P312" s="3">
        <v>1</v>
      </c>
      <c r="Q312" s="3" t="str">
        <f t="shared" si="4"/>
        <v>GOOD</v>
      </c>
    </row>
    <row r="313" spans="1:17" x14ac:dyDescent="0.25">
      <c r="A313" s="3" t="s">
        <v>717</v>
      </c>
      <c r="B313" s="3" t="s">
        <v>718</v>
      </c>
      <c r="C313" s="3" t="s">
        <v>56</v>
      </c>
      <c r="D313" s="3">
        <v>34</v>
      </c>
      <c r="E313" s="3" t="s">
        <v>27</v>
      </c>
      <c r="F313" s="3" t="s">
        <v>28</v>
      </c>
      <c r="G313" s="3" t="s">
        <v>100</v>
      </c>
      <c r="H313" s="3">
        <v>1</v>
      </c>
      <c r="I313" s="4">
        <v>40</v>
      </c>
      <c r="J313" s="3">
        <v>1.7</v>
      </c>
      <c r="L313" s="3">
        <v>74</v>
      </c>
      <c r="M313" s="3" t="s">
        <v>53</v>
      </c>
      <c r="N313" s="3" t="s">
        <v>67</v>
      </c>
      <c r="O313" s="3">
        <v>4</v>
      </c>
      <c r="P313" s="3">
        <v>4</v>
      </c>
      <c r="Q313" s="3" t="str">
        <f t="shared" si="4"/>
        <v>Average</v>
      </c>
    </row>
    <row r="314" spans="1:17" x14ac:dyDescent="0.25">
      <c r="A314" s="3" t="s">
        <v>719</v>
      </c>
      <c r="B314" s="3" t="s">
        <v>720</v>
      </c>
      <c r="C314" s="3" t="s">
        <v>41</v>
      </c>
      <c r="D314" s="3">
        <v>47</v>
      </c>
      <c r="E314" s="3" t="s">
        <v>118</v>
      </c>
      <c r="F314" s="3" t="s">
        <v>119</v>
      </c>
      <c r="G314" s="3" t="s">
        <v>100</v>
      </c>
      <c r="H314" s="3">
        <v>13</v>
      </c>
      <c r="I314" s="4">
        <v>20</v>
      </c>
      <c r="J314" s="3">
        <v>4.5</v>
      </c>
      <c r="L314" s="3">
        <v>0.91</v>
      </c>
      <c r="M314" s="3" t="s">
        <v>74</v>
      </c>
      <c r="N314" s="3" t="s">
        <v>31</v>
      </c>
      <c r="O314" s="3">
        <v>7</v>
      </c>
      <c r="P314" s="3">
        <v>6</v>
      </c>
      <c r="Q314" s="3" t="str">
        <f t="shared" si="4"/>
        <v>GOOD</v>
      </c>
    </row>
    <row r="315" spans="1:17" customFormat="1" hidden="1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s="1" t="s">
        <v>43</v>
      </c>
      <c r="J315">
        <v>3.6</v>
      </c>
      <c r="K315" t="b">
        <v>1</v>
      </c>
      <c r="L315">
        <v>0.71</v>
      </c>
      <c r="M315" t="s">
        <v>79</v>
      </c>
      <c r="N315" t="s">
        <v>23</v>
      </c>
      <c r="O315">
        <v>12</v>
      </c>
      <c r="P315">
        <v>9</v>
      </c>
      <c r="Q315" t="str">
        <f t="shared" si="4"/>
        <v>GOOD</v>
      </c>
    </row>
    <row r="316" spans="1:17" customFormat="1" hidden="1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s="1" t="s">
        <v>60</v>
      </c>
      <c r="J316">
        <v>3.6</v>
      </c>
      <c r="K316" t="s">
        <v>85</v>
      </c>
      <c r="L316">
        <v>0.87</v>
      </c>
      <c r="M316" t="s">
        <v>53</v>
      </c>
      <c r="N316" t="s">
        <v>31</v>
      </c>
      <c r="O316">
        <v>5</v>
      </c>
      <c r="P316">
        <v>1</v>
      </c>
      <c r="Q316" t="str">
        <f t="shared" si="4"/>
        <v>GOOD</v>
      </c>
    </row>
    <row r="317" spans="1:17" customFormat="1" hidden="1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s="1" t="s">
        <v>30</v>
      </c>
      <c r="J317">
        <v>2.8</v>
      </c>
      <c r="K317">
        <v>1</v>
      </c>
      <c r="L317">
        <v>0.61</v>
      </c>
      <c r="M317" t="s">
        <v>53</v>
      </c>
      <c r="N317" t="s">
        <v>38</v>
      </c>
      <c r="O317">
        <v>1</v>
      </c>
      <c r="P317">
        <v>1</v>
      </c>
      <c r="Q317" t="str">
        <f t="shared" si="4"/>
        <v>Average</v>
      </c>
    </row>
    <row r="318" spans="1:17" customFormat="1" hidden="1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s="1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  <c r="Q318" t="str">
        <f t="shared" si="4"/>
        <v>GOOD</v>
      </c>
    </row>
    <row r="319" spans="1:17" x14ac:dyDescent="0.25">
      <c r="A319" s="3" t="s">
        <v>729</v>
      </c>
      <c r="B319" s="3" t="s">
        <v>730</v>
      </c>
      <c r="C319" s="3" t="s">
        <v>34</v>
      </c>
      <c r="D319" s="3">
        <v>32</v>
      </c>
      <c r="E319" s="3" t="s">
        <v>35</v>
      </c>
      <c r="F319" s="3" t="s">
        <v>35</v>
      </c>
      <c r="G319" s="3" t="s">
        <v>36</v>
      </c>
      <c r="H319" s="3">
        <v>0</v>
      </c>
      <c r="I319" s="4">
        <v>100</v>
      </c>
      <c r="J319" s="3">
        <v>1.4</v>
      </c>
      <c r="K319" s="3">
        <v>1</v>
      </c>
      <c r="L319" s="3">
        <v>0.81</v>
      </c>
      <c r="M319" s="3" t="s">
        <v>53</v>
      </c>
      <c r="N319" s="3" t="s">
        <v>23</v>
      </c>
      <c r="O319" s="3">
        <v>2</v>
      </c>
      <c r="P319" s="3">
        <v>1</v>
      </c>
      <c r="Q319" s="3" t="str">
        <f t="shared" si="4"/>
        <v>Average</v>
      </c>
    </row>
    <row r="320" spans="1:17" x14ac:dyDescent="0.25">
      <c r="A320" s="3" t="s">
        <v>731</v>
      </c>
      <c r="B320" s="3" t="s">
        <v>732</v>
      </c>
      <c r="C320" s="3" t="s">
        <v>88</v>
      </c>
      <c r="D320" s="3">
        <v>55</v>
      </c>
      <c r="E320" s="3" t="s">
        <v>135</v>
      </c>
      <c r="F320" s="3" t="s">
        <v>136</v>
      </c>
      <c r="G320" s="3" t="s">
        <v>59</v>
      </c>
      <c r="H320" s="3">
        <v>17</v>
      </c>
      <c r="I320" s="4">
        <v>30</v>
      </c>
      <c r="M320" s="3" t="s">
        <v>22</v>
      </c>
      <c r="N320" s="3" t="s">
        <v>31</v>
      </c>
      <c r="O320" s="3">
        <v>18</v>
      </c>
      <c r="P320" s="3">
        <v>13</v>
      </c>
      <c r="Q320" s="3" t="str">
        <f t="shared" si="4"/>
        <v>Average</v>
      </c>
    </row>
    <row r="321" spans="1:17" customFormat="1" hidden="1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s="1" t="s">
        <v>63</v>
      </c>
      <c r="J321">
        <v>4.5999999999999996</v>
      </c>
      <c r="K321">
        <v>1</v>
      </c>
      <c r="L321">
        <v>0.84</v>
      </c>
      <c r="M321" t="s">
        <v>79</v>
      </c>
      <c r="N321" t="s">
        <v>38</v>
      </c>
      <c r="O321">
        <v>9</v>
      </c>
      <c r="P321">
        <v>2</v>
      </c>
      <c r="Q321" t="str">
        <f t="shared" si="4"/>
        <v>GOOD</v>
      </c>
    </row>
    <row r="322" spans="1:17" customFormat="1" hidden="1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s="1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  <c r="Q322" t="str">
        <f t="shared" ref="Q322:Q385" si="5">IF(J322&lt;3.5,"Average","GOOD")</f>
        <v>Average</v>
      </c>
    </row>
    <row r="323" spans="1:17" customFormat="1" hidden="1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s="1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  <c r="Q323" t="str">
        <f t="shared" si="5"/>
        <v>GOOD</v>
      </c>
    </row>
    <row r="324" spans="1:17" customFormat="1" hidden="1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I324" s="1"/>
      <c r="J324">
        <v>0</v>
      </c>
      <c r="K324">
        <v>1</v>
      </c>
      <c r="L324">
        <v>0.6</v>
      </c>
      <c r="M324" t="s">
        <v>22</v>
      </c>
      <c r="N324" t="s">
        <v>38</v>
      </c>
      <c r="O324">
        <v>13</v>
      </c>
      <c r="P324">
        <v>7</v>
      </c>
      <c r="Q324" t="str">
        <f t="shared" si="5"/>
        <v>Average</v>
      </c>
    </row>
    <row r="325" spans="1:17" x14ac:dyDescent="0.25">
      <c r="A325" s="3" t="s">
        <v>741</v>
      </c>
      <c r="B325" s="3" t="s">
        <v>742</v>
      </c>
      <c r="C325" s="3" t="s">
        <v>108</v>
      </c>
      <c r="D325" s="3">
        <v>48</v>
      </c>
      <c r="E325" s="3" t="s">
        <v>104</v>
      </c>
      <c r="F325" s="3" t="s">
        <v>105</v>
      </c>
      <c r="G325" s="3" t="s">
        <v>89</v>
      </c>
      <c r="H325" s="3">
        <v>18</v>
      </c>
      <c r="I325" s="4">
        <v>50</v>
      </c>
      <c r="J325" s="3">
        <v>0</v>
      </c>
      <c r="K325" s="3" t="s">
        <v>85</v>
      </c>
      <c r="L325" s="3">
        <v>0.64</v>
      </c>
      <c r="M325" s="3" t="s">
        <v>79</v>
      </c>
      <c r="N325" s="3" t="s">
        <v>38</v>
      </c>
      <c r="O325" s="3">
        <v>11</v>
      </c>
      <c r="P325" s="3">
        <v>16</v>
      </c>
      <c r="Q325" s="3" t="str">
        <f t="shared" si="5"/>
        <v>Average</v>
      </c>
    </row>
    <row r="326" spans="1:17" x14ac:dyDescent="0.25">
      <c r="A326" s="3" t="s">
        <v>743</v>
      </c>
      <c r="B326" s="3" t="s">
        <v>744</v>
      </c>
      <c r="C326" s="3" t="s">
        <v>26</v>
      </c>
      <c r="D326" s="3">
        <v>28</v>
      </c>
      <c r="E326" s="3" t="s">
        <v>96</v>
      </c>
      <c r="F326" s="3" t="s">
        <v>97</v>
      </c>
      <c r="G326" s="3" t="s">
        <v>29</v>
      </c>
      <c r="H326" s="3">
        <v>9</v>
      </c>
      <c r="I326" s="4">
        <v>40</v>
      </c>
      <c r="K326" s="3">
        <v>1</v>
      </c>
      <c r="L326" s="3">
        <v>0.64</v>
      </c>
      <c r="M326" s="3" t="s">
        <v>22</v>
      </c>
      <c r="N326" s="3" t="s">
        <v>23</v>
      </c>
      <c r="O326" s="3">
        <v>14</v>
      </c>
      <c r="P326" s="3">
        <v>12</v>
      </c>
      <c r="Q326" s="3" t="str">
        <f t="shared" si="5"/>
        <v>Average</v>
      </c>
    </row>
    <row r="327" spans="1:17" x14ac:dyDescent="0.25">
      <c r="A327" s="3" t="s">
        <v>745</v>
      </c>
      <c r="B327" s="3" t="s">
        <v>746</v>
      </c>
      <c r="C327" s="3" t="s">
        <v>26</v>
      </c>
      <c r="D327" s="3">
        <v>58</v>
      </c>
      <c r="E327" s="3" t="s">
        <v>201</v>
      </c>
      <c r="F327" s="3" t="s">
        <v>83</v>
      </c>
      <c r="G327" s="3" t="s">
        <v>59</v>
      </c>
      <c r="H327" s="3">
        <v>40</v>
      </c>
      <c r="I327" s="4">
        <v>75</v>
      </c>
      <c r="J327" s="3">
        <v>3.4</v>
      </c>
      <c r="K327" s="3">
        <v>1</v>
      </c>
      <c r="L327" s="3">
        <v>1</v>
      </c>
      <c r="M327" s="3" t="s">
        <v>79</v>
      </c>
      <c r="N327" s="3" t="s">
        <v>23</v>
      </c>
      <c r="O327" s="3">
        <v>11</v>
      </c>
      <c r="P327" s="3">
        <v>12</v>
      </c>
      <c r="Q327" s="3" t="str">
        <f t="shared" si="5"/>
        <v>Average</v>
      </c>
    </row>
    <row r="328" spans="1:17" x14ac:dyDescent="0.25">
      <c r="A328" s="3" t="s">
        <v>747</v>
      </c>
      <c r="B328" s="3" t="s">
        <v>748</v>
      </c>
      <c r="C328" s="3" t="s">
        <v>34</v>
      </c>
      <c r="D328" s="3">
        <v>30</v>
      </c>
      <c r="E328" s="3" t="s">
        <v>82</v>
      </c>
      <c r="F328" s="3" t="s">
        <v>83</v>
      </c>
      <c r="G328" s="3" t="s">
        <v>42</v>
      </c>
      <c r="H328" s="3">
        <v>1</v>
      </c>
      <c r="I328" s="4">
        <v>40</v>
      </c>
      <c r="J328" s="3">
        <v>1.6</v>
      </c>
      <c r="K328" s="3" t="b">
        <v>1</v>
      </c>
      <c r="L328" s="3">
        <v>100</v>
      </c>
      <c r="M328" s="3" t="s">
        <v>74</v>
      </c>
      <c r="N328" s="3" t="s">
        <v>31</v>
      </c>
      <c r="O328" s="3">
        <v>4</v>
      </c>
      <c r="P328" s="3">
        <v>1</v>
      </c>
      <c r="Q328" s="3" t="str">
        <f t="shared" si="5"/>
        <v>Average</v>
      </c>
    </row>
    <row r="329" spans="1:17" x14ac:dyDescent="0.25">
      <c r="A329" s="3" t="s">
        <v>749</v>
      </c>
      <c r="B329" s="3" t="s">
        <v>750</v>
      </c>
      <c r="C329" s="3" t="s">
        <v>88</v>
      </c>
      <c r="D329" s="3">
        <v>47</v>
      </c>
      <c r="E329" s="3" t="s">
        <v>186</v>
      </c>
      <c r="F329" s="3" t="s">
        <v>187</v>
      </c>
      <c r="G329" s="3" t="s">
        <v>29</v>
      </c>
      <c r="H329" s="3">
        <v>5</v>
      </c>
      <c r="I329" s="4">
        <v>20</v>
      </c>
      <c r="J329" s="3">
        <v>1.9</v>
      </c>
      <c r="K329" s="3">
        <v>0</v>
      </c>
      <c r="M329" s="3" t="s">
        <v>53</v>
      </c>
      <c r="N329" s="3" t="s">
        <v>67</v>
      </c>
      <c r="O329" s="3">
        <v>5</v>
      </c>
      <c r="P329" s="3">
        <v>1</v>
      </c>
      <c r="Q329" s="3" t="str">
        <f t="shared" si="5"/>
        <v>Average</v>
      </c>
    </row>
    <row r="330" spans="1:17" customFormat="1" hidden="1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s="1" t="s">
        <v>73</v>
      </c>
      <c r="J330">
        <v>0</v>
      </c>
      <c r="K330" t="b">
        <v>1</v>
      </c>
      <c r="L330">
        <v>0.83</v>
      </c>
      <c r="M330" t="s">
        <v>74</v>
      </c>
      <c r="N330" t="s">
        <v>38</v>
      </c>
      <c r="O330">
        <v>5</v>
      </c>
      <c r="P330">
        <v>1</v>
      </c>
      <c r="Q330" t="str">
        <f t="shared" si="5"/>
        <v>Average</v>
      </c>
    </row>
    <row r="331" spans="1:17" customFormat="1" hidden="1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s="1" t="s">
        <v>63</v>
      </c>
      <c r="K331">
        <v>1</v>
      </c>
      <c r="L331">
        <v>0.87</v>
      </c>
      <c r="M331" t="s">
        <v>53</v>
      </c>
      <c r="N331" t="s">
        <v>31</v>
      </c>
      <c r="O331">
        <v>9</v>
      </c>
      <c r="P331">
        <v>10</v>
      </c>
      <c r="Q331" t="str">
        <f t="shared" si="5"/>
        <v>Average</v>
      </c>
    </row>
    <row r="332" spans="1:17" customFormat="1" hidden="1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s="1" t="s">
        <v>240</v>
      </c>
      <c r="K332" t="s">
        <v>170</v>
      </c>
      <c r="L332">
        <v>0.75</v>
      </c>
      <c r="M332" t="s">
        <v>22</v>
      </c>
      <c r="N332" t="s">
        <v>38</v>
      </c>
      <c r="O332">
        <v>12</v>
      </c>
      <c r="P332">
        <v>1</v>
      </c>
      <c r="Q332" t="str">
        <f t="shared" si="5"/>
        <v>Average</v>
      </c>
    </row>
    <row r="333" spans="1:17" x14ac:dyDescent="0.25">
      <c r="A333" s="3" t="s">
        <v>757</v>
      </c>
      <c r="B333" s="3" t="s">
        <v>758</v>
      </c>
      <c r="C333" s="3" t="s">
        <v>70</v>
      </c>
      <c r="D333" s="3">
        <v>59</v>
      </c>
      <c r="E333" s="3" t="s">
        <v>77</v>
      </c>
      <c r="F333" s="3" t="s">
        <v>28</v>
      </c>
      <c r="G333" s="3" t="s">
        <v>29</v>
      </c>
      <c r="H333" s="3">
        <v>22</v>
      </c>
      <c r="I333" s="4">
        <v>40</v>
      </c>
      <c r="J333" s="3">
        <v>1.1000000000000001</v>
      </c>
      <c r="K333" s="3" t="s">
        <v>78</v>
      </c>
      <c r="L333" s="3">
        <v>0.61</v>
      </c>
      <c r="M333" s="3" t="s">
        <v>74</v>
      </c>
      <c r="N333" s="3" t="s">
        <v>38</v>
      </c>
      <c r="O333" s="3">
        <v>10</v>
      </c>
      <c r="P333" s="3">
        <v>19</v>
      </c>
      <c r="Q333" s="3" t="str">
        <f t="shared" si="5"/>
        <v>Average</v>
      </c>
    </row>
    <row r="334" spans="1:17" customFormat="1" hidden="1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I334" s="1"/>
      <c r="J334">
        <v>2.5</v>
      </c>
      <c r="K334" t="b">
        <v>0</v>
      </c>
      <c r="L334">
        <v>0.93</v>
      </c>
      <c r="M334" t="s">
        <v>79</v>
      </c>
      <c r="N334" t="s">
        <v>67</v>
      </c>
      <c r="O334">
        <v>20</v>
      </c>
      <c r="P334">
        <v>9</v>
      </c>
      <c r="Q334" t="str">
        <f t="shared" si="5"/>
        <v>Average</v>
      </c>
    </row>
    <row r="335" spans="1:17" customFormat="1" hidden="1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s="1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  <c r="Q335" t="str">
        <f t="shared" si="5"/>
        <v>GOOD</v>
      </c>
    </row>
    <row r="336" spans="1:17" customFormat="1" hidden="1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s="1" t="s">
        <v>325</v>
      </c>
      <c r="K336" t="b">
        <v>0</v>
      </c>
      <c r="L336">
        <v>0.99</v>
      </c>
      <c r="M336" t="s">
        <v>53</v>
      </c>
      <c r="N336" t="s">
        <v>31</v>
      </c>
      <c r="O336">
        <v>4</v>
      </c>
      <c r="P336">
        <v>2</v>
      </c>
      <c r="Q336" t="str">
        <f t="shared" si="5"/>
        <v>Average</v>
      </c>
    </row>
    <row r="337" spans="1:17" x14ac:dyDescent="0.25">
      <c r="A337" s="3" t="s">
        <v>765</v>
      </c>
      <c r="B337" s="3" t="s">
        <v>766</v>
      </c>
      <c r="C337" s="3" t="s">
        <v>34</v>
      </c>
      <c r="D337" s="3">
        <v>54</v>
      </c>
      <c r="E337" s="3" t="s">
        <v>77</v>
      </c>
      <c r="F337" s="3" t="s">
        <v>28</v>
      </c>
      <c r="G337" s="3" t="s">
        <v>84</v>
      </c>
      <c r="H337" s="3">
        <v>20</v>
      </c>
      <c r="I337" s="4">
        <v>50</v>
      </c>
      <c r="J337" s="3">
        <v>4.4000000000000004</v>
      </c>
      <c r="K337" s="3">
        <v>0</v>
      </c>
      <c r="L337" s="3">
        <v>73</v>
      </c>
      <c r="M337" s="3" t="s">
        <v>74</v>
      </c>
      <c r="N337" s="3" t="s">
        <v>67</v>
      </c>
      <c r="O337" s="3">
        <v>20</v>
      </c>
      <c r="P337" s="3">
        <v>12</v>
      </c>
      <c r="Q337" s="3" t="str">
        <f t="shared" si="5"/>
        <v>GOOD</v>
      </c>
    </row>
    <row r="338" spans="1:17" x14ac:dyDescent="0.25">
      <c r="A338" s="3" t="s">
        <v>767</v>
      </c>
      <c r="B338" s="3" t="s">
        <v>768</v>
      </c>
      <c r="C338" s="3" t="s">
        <v>88</v>
      </c>
      <c r="D338" s="3">
        <v>33</v>
      </c>
      <c r="E338" s="3" t="s">
        <v>66</v>
      </c>
      <c r="F338" s="3" t="s">
        <v>28</v>
      </c>
      <c r="G338" s="3" t="s">
        <v>36</v>
      </c>
      <c r="H338" s="3">
        <v>11</v>
      </c>
      <c r="I338" s="4">
        <v>75</v>
      </c>
      <c r="J338" s="3">
        <v>2.1</v>
      </c>
      <c r="K338" s="3">
        <v>0</v>
      </c>
      <c r="L338" s="3">
        <v>0.96</v>
      </c>
      <c r="M338" s="3" t="s">
        <v>22</v>
      </c>
      <c r="N338" s="3" t="s">
        <v>67</v>
      </c>
      <c r="O338" s="3">
        <v>7</v>
      </c>
      <c r="P338" s="3">
        <v>5</v>
      </c>
      <c r="Q338" s="3" t="str">
        <f t="shared" si="5"/>
        <v>Average</v>
      </c>
    </row>
    <row r="339" spans="1:17" x14ac:dyDescent="0.25">
      <c r="A339" s="3" t="s">
        <v>769</v>
      </c>
      <c r="B339" s="3" t="s">
        <v>770</v>
      </c>
      <c r="C339" s="3" t="s">
        <v>88</v>
      </c>
      <c r="D339" s="3">
        <v>57</v>
      </c>
      <c r="E339" s="3" t="s">
        <v>71</v>
      </c>
      <c r="F339" s="3" t="s">
        <v>72</v>
      </c>
      <c r="G339" s="3" t="s">
        <v>59</v>
      </c>
      <c r="H339" s="3">
        <v>2</v>
      </c>
      <c r="I339" s="4">
        <v>40</v>
      </c>
      <c r="J339" s="3">
        <v>0</v>
      </c>
      <c r="K339" s="3" t="b">
        <v>0</v>
      </c>
      <c r="L339" s="3">
        <v>0.6</v>
      </c>
      <c r="M339" s="3" t="s">
        <v>74</v>
      </c>
      <c r="N339" s="3" t="s">
        <v>31</v>
      </c>
      <c r="O339" s="3">
        <v>5</v>
      </c>
      <c r="P339" s="3">
        <v>2</v>
      </c>
      <c r="Q339" s="3" t="str">
        <f t="shared" si="5"/>
        <v>Average</v>
      </c>
    </row>
    <row r="340" spans="1:17" x14ac:dyDescent="0.25">
      <c r="A340" s="3" t="s">
        <v>771</v>
      </c>
      <c r="B340" s="3" t="s">
        <v>772</v>
      </c>
      <c r="C340" s="3" t="s">
        <v>103</v>
      </c>
      <c r="D340" s="3">
        <v>36</v>
      </c>
      <c r="E340" s="3" t="s">
        <v>123</v>
      </c>
      <c r="F340" s="3" t="s">
        <v>124</v>
      </c>
      <c r="G340" s="3" t="s">
        <v>36</v>
      </c>
      <c r="H340" s="3">
        <v>6</v>
      </c>
      <c r="I340" s="4">
        <v>20</v>
      </c>
      <c r="J340" s="3">
        <v>1</v>
      </c>
      <c r="K340" s="3" t="s">
        <v>85</v>
      </c>
      <c r="L340" s="3">
        <v>0.64</v>
      </c>
      <c r="M340" s="3" t="s">
        <v>22</v>
      </c>
      <c r="N340" s="3" t="s">
        <v>67</v>
      </c>
      <c r="O340" s="3">
        <v>15</v>
      </c>
      <c r="P340" s="3">
        <v>6</v>
      </c>
      <c r="Q340" s="3" t="str">
        <f t="shared" si="5"/>
        <v>Average</v>
      </c>
    </row>
    <row r="341" spans="1:17" customFormat="1" hidden="1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s="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  <c r="Q341" t="str">
        <f t="shared" si="5"/>
        <v>Average</v>
      </c>
    </row>
    <row r="342" spans="1:17" customFormat="1" hidden="1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s="1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  <c r="Q342" t="str">
        <f t="shared" si="5"/>
        <v>GOOD</v>
      </c>
    </row>
    <row r="343" spans="1:17" x14ac:dyDescent="0.25">
      <c r="A343" s="3" t="s">
        <v>777</v>
      </c>
      <c r="B343" s="3" t="s">
        <v>778</v>
      </c>
      <c r="C343" s="3" t="s">
        <v>103</v>
      </c>
      <c r="D343" s="3">
        <v>53</v>
      </c>
      <c r="E343" s="3" t="s">
        <v>19</v>
      </c>
      <c r="F343" s="3" t="s">
        <v>20</v>
      </c>
      <c r="G343" s="3" t="s">
        <v>51</v>
      </c>
      <c r="H343" s="3">
        <v>4</v>
      </c>
      <c r="I343" s="4">
        <v>30</v>
      </c>
      <c r="J343" s="3">
        <v>4.7</v>
      </c>
      <c r="K343" s="3" t="s">
        <v>170</v>
      </c>
      <c r="L343" s="3">
        <v>0.99</v>
      </c>
      <c r="M343" s="3" t="s">
        <v>74</v>
      </c>
      <c r="N343" s="3" t="s">
        <v>38</v>
      </c>
      <c r="O343" s="3">
        <v>2</v>
      </c>
      <c r="P343" s="3">
        <v>1</v>
      </c>
      <c r="Q343" s="3" t="str">
        <f t="shared" si="5"/>
        <v>GOOD</v>
      </c>
    </row>
    <row r="344" spans="1:17" customFormat="1" hidden="1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s="1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  <c r="Q344" t="str">
        <f t="shared" si="5"/>
        <v>Average</v>
      </c>
    </row>
    <row r="345" spans="1:17" x14ac:dyDescent="0.25">
      <c r="A345" s="3" t="s">
        <v>781</v>
      </c>
      <c r="B345" s="3" t="s">
        <v>782</v>
      </c>
      <c r="C345" s="3" t="s">
        <v>88</v>
      </c>
      <c r="D345" s="3">
        <v>55</v>
      </c>
      <c r="E345" s="3" t="s">
        <v>49</v>
      </c>
      <c r="F345" s="3" t="s">
        <v>50</v>
      </c>
      <c r="G345" s="3" t="s">
        <v>29</v>
      </c>
      <c r="H345" s="3">
        <v>33</v>
      </c>
      <c r="I345" s="4">
        <v>40</v>
      </c>
      <c r="J345" s="3">
        <v>1.5</v>
      </c>
      <c r="K345" s="3" t="s">
        <v>85</v>
      </c>
      <c r="L345" s="3">
        <v>0.71</v>
      </c>
      <c r="M345" s="3" t="s">
        <v>22</v>
      </c>
      <c r="N345" s="3" t="s">
        <v>38</v>
      </c>
      <c r="O345" s="3">
        <v>10</v>
      </c>
      <c r="P345" s="3">
        <v>11</v>
      </c>
      <c r="Q345" s="3" t="str">
        <f t="shared" si="5"/>
        <v>Average</v>
      </c>
    </row>
    <row r="346" spans="1:17" customFormat="1" hidden="1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I346" s="1"/>
      <c r="J346">
        <v>2.6</v>
      </c>
      <c r="K346">
        <v>0</v>
      </c>
      <c r="L346">
        <v>0.72</v>
      </c>
      <c r="M346" t="s">
        <v>74</v>
      </c>
      <c r="N346" t="s">
        <v>31</v>
      </c>
      <c r="O346">
        <v>5</v>
      </c>
      <c r="P346">
        <v>1</v>
      </c>
      <c r="Q346" t="str">
        <f t="shared" si="5"/>
        <v>Average</v>
      </c>
    </row>
    <row r="347" spans="1:17" customFormat="1" hidden="1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s="1" t="s">
        <v>109</v>
      </c>
      <c r="J347">
        <v>0</v>
      </c>
      <c r="K347">
        <v>0</v>
      </c>
      <c r="L347">
        <v>0.66</v>
      </c>
      <c r="M347" t="s">
        <v>79</v>
      </c>
      <c r="N347" t="s">
        <v>38</v>
      </c>
      <c r="O347">
        <v>10</v>
      </c>
      <c r="P347">
        <v>6</v>
      </c>
      <c r="Q347" t="str">
        <f t="shared" si="5"/>
        <v>Average</v>
      </c>
    </row>
    <row r="348" spans="1:17" x14ac:dyDescent="0.25">
      <c r="A348" s="3" t="s">
        <v>787</v>
      </c>
      <c r="B348" s="3" t="s">
        <v>788</v>
      </c>
      <c r="C348" s="3" t="s">
        <v>103</v>
      </c>
      <c r="D348" s="3">
        <v>36</v>
      </c>
      <c r="E348" s="3" t="s">
        <v>146</v>
      </c>
      <c r="F348" s="3" t="s">
        <v>147</v>
      </c>
      <c r="G348" s="3" t="s">
        <v>59</v>
      </c>
      <c r="H348" s="3">
        <v>13</v>
      </c>
      <c r="I348" s="4">
        <v>40</v>
      </c>
      <c r="K348" s="3" t="s">
        <v>37</v>
      </c>
      <c r="L348" s="3">
        <v>0.78</v>
      </c>
      <c r="M348" s="3" t="s">
        <v>79</v>
      </c>
      <c r="N348" s="3" t="s">
        <v>38</v>
      </c>
      <c r="O348" s="3">
        <v>15</v>
      </c>
      <c r="P348" s="3">
        <v>10</v>
      </c>
      <c r="Q348" s="3" t="str">
        <f t="shared" si="5"/>
        <v>Average</v>
      </c>
    </row>
    <row r="349" spans="1:17" customFormat="1" hidden="1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s="1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  <c r="Q349" t="str">
        <f t="shared" si="5"/>
        <v>GOOD</v>
      </c>
    </row>
    <row r="350" spans="1:17" x14ac:dyDescent="0.25">
      <c r="A350" s="3" t="s">
        <v>791</v>
      </c>
      <c r="B350" s="3" t="s">
        <v>792</v>
      </c>
      <c r="C350" s="3" t="s">
        <v>103</v>
      </c>
      <c r="D350" s="3">
        <v>55</v>
      </c>
      <c r="E350" s="3" t="s">
        <v>19</v>
      </c>
      <c r="F350" s="3" t="s">
        <v>20</v>
      </c>
      <c r="G350" s="3" t="s">
        <v>100</v>
      </c>
      <c r="H350" s="3">
        <v>15</v>
      </c>
      <c r="I350" s="4">
        <v>40</v>
      </c>
      <c r="J350" s="3">
        <v>4.5</v>
      </c>
      <c r="M350" s="3" t="s">
        <v>74</v>
      </c>
      <c r="N350" s="3" t="s">
        <v>38</v>
      </c>
      <c r="O350" s="3">
        <v>9</v>
      </c>
      <c r="P350" s="3">
        <v>10</v>
      </c>
      <c r="Q350" s="3" t="str">
        <f t="shared" si="5"/>
        <v>GOOD</v>
      </c>
    </row>
    <row r="351" spans="1:17" x14ac:dyDescent="0.25">
      <c r="A351" s="3" t="s">
        <v>793</v>
      </c>
      <c r="B351" s="3" t="s">
        <v>794</v>
      </c>
      <c r="C351" s="3" t="s">
        <v>41</v>
      </c>
      <c r="D351" s="3">
        <v>50</v>
      </c>
      <c r="E351" s="3" t="s">
        <v>118</v>
      </c>
      <c r="F351" s="3" t="s">
        <v>119</v>
      </c>
      <c r="G351" s="3" t="s">
        <v>29</v>
      </c>
      <c r="H351" s="3">
        <v>18</v>
      </c>
      <c r="I351" s="4">
        <v>75</v>
      </c>
      <c r="J351" s="3">
        <v>3.8</v>
      </c>
      <c r="K351" s="3">
        <v>0</v>
      </c>
      <c r="L351" s="3">
        <v>67</v>
      </c>
      <c r="M351" s="3" t="s">
        <v>22</v>
      </c>
      <c r="N351" s="3" t="s">
        <v>23</v>
      </c>
      <c r="O351" s="3">
        <v>14</v>
      </c>
      <c r="P351" s="3">
        <v>6</v>
      </c>
      <c r="Q351" s="3" t="str">
        <f t="shared" si="5"/>
        <v>GOOD</v>
      </c>
    </row>
    <row r="352" spans="1:17" x14ac:dyDescent="0.25">
      <c r="A352" s="3" t="s">
        <v>795</v>
      </c>
      <c r="B352" s="3" t="s">
        <v>796</v>
      </c>
      <c r="C352" s="3" t="s">
        <v>34</v>
      </c>
      <c r="D352" s="3">
        <v>48</v>
      </c>
      <c r="E352" s="3" t="s">
        <v>66</v>
      </c>
      <c r="F352" s="3" t="s">
        <v>28</v>
      </c>
      <c r="G352" s="3" t="s">
        <v>125</v>
      </c>
      <c r="H352" s="3">
        <v>21</v>
      </c>
      <c r="I352" s="4">
        <v>50</v>
      </c>
      <c r="J352" s="3">
        <v>4</v>
      </c>
      <c r="K352" s="3">
        <v>0</v>
      </c>
      <c r="L352" s="3">
        <v>0.78</v>
      </c>
      <c r="M352" s="3" t="s">
        <v>79</v>
      </c>
      <c r="N352" s="3" t="s">
        <v>38</v>
      </c>
      <c r="O352" s="3">
        <v>20</v>
      </c>
      <c r="P352" s="3">
        <v>7</v>
      </c>
      <c r="Q352" s="3" t="str">
        <f t="shared" si="5"/>
        <v>GOOD</v>
      </c>
    </row>
    <row r="353" spans="1:17" customFormat="1" hidden="1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s="1" t="s">
        <v>43</v>
      </c>
      <c r="J353">
        <v>4.9000000000000004</v>
      </c>
      <c r="K353" t="s">
        <v>78</v>
      </c>
      <c r="L353">
        <v>0.78</v>
      </c>
      <c r="M353" t="s">
        <v>79</v>
      </c>
      <c r="N353" t="s">
        <v>23</v>
      </c>
      <c r="O353">
        <v>3</v>
      </c>
      <c r="P353">
        <v>3</v>
      </c>
      <c r="Q353" t="str">
        <f t="shared" si="5"/>
        <v>GOOD</v>
      </c>
    </row>
    <row r="354" spans="1:17" customFormat="1" hidden="1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s="1" t="s">
        <v>52</v>
      </c>
      <c r="J354">
        <v>3.4</v>
      </c>
      <c r="K354">
        <v>0</v>
      </c>
      <c r="L354">
        <v>0.75</v>
      </c>
      <c r="M354" t="s">
        <v>53</v>
      </c>
      <c r="N354" t="s">
        <v>31</v>
      </c>
      <c r="O354">
        <v>15</v>
      </c>
      <c r="P354">
        <v>10</v>
      </c>
      <c r="Q354" t="str">
        <f t="shared" si="5"/>
        <v>Average</v>
      </c>
    </row>
    <row r="355" spans="1:17" x14ac:dyDescent="0.25">
      <c r="A355" s="3" t="s">
        <v>801</v>
      </c>
      <c r="B355" s="3" t="s">
        <v>802</v>
      </c>
      <c r="C355" s="3" t="s">
        <v>41</v>
      </c>
      <c r="D355" s="3">
        <v>47</v>
      </c>
      <c r="E355" s="3" t="s">
        <v>19</v>
      </c>
      <c r="F355" s="3" t="s">
        <v>20</v>
      </c>
      <c r="G355" s="3" t="s">
        <v>89</v>
      </c>
      <c r="H355" s="3">
        <v>12</v>
      </c>
      <c r="I355" s="4">
        <v>50</v>
      </c>
      <c r="J355" s="3">
        <v>2.1</v>
      </c>
      <c r="K355" s="3" t="b">
        <v>1</v>
      </c>
      <c r="L355" s="3">
        <v>0.67</v>
      </c>
      <c r="M355" s="3" t="s">
        <v>22</v>
      </c>
      <c r="N355" s="3" t="s">
        <v>67</v>
      </c>
      <c r="O355" s="3">
        <v>14</v>
      </c>
      <c r="P355" s="3">
        <v>10</v>
      </c>
      <c r="Q355" s="3" t="str">
        <f t="shared" si="5"/>
        <v>Average</v>
      </c>
    </row>
    <row r="356" spans="1:17" customFormat="1" hidden="1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s="1" t="s">
        <v>63</v>
      </c>
      <c r="J356">
        <v>0</v>
      </c>
      <c r="K356">
        <v>1</v>
      </c>
      <c r="L356">
        <v>0.86</v>
      </c>
      <c r="M356" t="s">
        <v>53</v>
      </c>
      <c r="N356" t="s">
        <v>38</v>
      </c>
      <c r="O356">
        <v>15</v>
      </c>
      <c r="P356">
        <v>5</v>
      </c>
      <c r="Q356" t="str">
        <f t="shared" si="5"/>
        <v>Average</v>
      </c>
    </row>
    <row r="357" spans="1:17" x14ac:dyDescent="0.25">
      <c r="A357" s="3" t="s">
        <v>805</v>
      </c>
      <c r="B357" s="3" t="s">
        <v>806</v>
      </c>
      <c r="C357" s="3" t="s">
        <v>70</v>
      </c>
      <c r="D357" s="3">
        <v>58</v>
      </c>
      <c r="E357" s="3" t="s">
        <v>82</v>
      </c>
      <c r="F357" s="3" t="s">
        <v>83</v>
      </c>
      <c r="G357" s="3" t="s">
        <v>84</v>
      </c>
      <c r="I357" s="4">
        <v>100</v>
      </c>
      <c r="J357" s="3">
        <v>4.5</v>
      </c>
      <c r="K357" s="3" t="s">
        <v>170</v>
      </c>
      <c r="L357" s="3">
        <v>77</v>
      </c>
      <c r="M357" s="3" t="s">
        <v>79</v>
      </c>
      <c r="N357" s="3" t="s">
        <v>67</v>
      </c>
      <c r="O357" s="3">
        <v>3</v>
      </c>
      <c r="P357" s="3">
        <v>1</v>
      </c>
      <c r="Q357" s="3" t="str">
        <f t="shared" si="5"/>
        <v>GOOD</v>
      </c>
    </row>
    <row r="358" spans="1:17" customFormat="1" hidden="1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s="1" t="s">
        <v>52</v>
      </c>
      <c r="J358">
        <v>3.8</v>
      </c>
      <c r="K358">
        <v>0</v>
      </c>
      <c r="L358">
        <v>0.61</v>
      </c>
      <c r="M358" t="s">
        <v>22</v>
      </c>
      <c r="N358" t="s">
        <v>67</v>
      </c>
      <c r="O358">
        <v>11</v>
      </c>
      <c r="P358">
        <v>5</v>
      </c>
      <c r="Q358" t="str">
        <f t="shared" si="5"/>
        <v>GOOD</v>
      </c>
    </row>
    <row r="359" spans="1:17" customFormat="1" hidden="1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I359" s="1"/>
      <c r="J359">
        <v>4.3</v>
      </c>
      <c r="K359">
        <v>0</v>
      </c>
      <c r="L359">
        <v>0.9</v>
      </c>
      <c r="M359" t="s">
        <v>74</v>
      </c>
      <c r="N359" t="s">
        <v>31</v>
      </c>
      <c r="O359">
        <v>1</v>
      </c>
      <c r="P359">
        <v>1</v>
      </c>
      <c r="Q359" t="str">
        <f t="shared" si="5"/>
        <v>GOOD</v>
      </c>
    </row>
    <row r="360" spans="1:17" x14ac:dyDescent="0.25">
      <c r="A360" s="3" t="s">
        <v>811</v>
      </c>
      <c r="B360" s="3" t="s">
        <v>812</v>
      </c>
      <c r="C360" s="3" t="s">
        <v>26</v>
      </c>
      <c r="D360" s="3">
        <v>22</v>
      </c>
      <c r="E360" s="3" t="s">
        <v>186</v>
      </c>
      <c r="F360" s="3" t="s">
        <v>187</v>
      </c>
      <c r="G360" s="3" t="s">
        <v>59</v>
      </c>
      <c r="H360" s="3">
        <v>1</v>
      </c>
      <c r="I360" s="4">
        <v>50</v>
      </c>
      <c r="J360" s="3">
        <v>0</v>
      </c>
      <c r="L360" s="3">
        <v>0.98</v>
      </c>
      <c r="M360" s="3" t="s">
        <v>22</v>
      </c>
      <c r="N360" s="3" t="s">
        <v>67</v>
      </c>
      <c r="O360" s="3">
        <v>4</v>
      </c>
      <c r="P360" s="3">
        <v>5</v>
      </c>
      <c r="Q360" s="3" t="str">
        <f t="shared" si="5"/>
        <v>Average</v>
      </c>
    </row>
    <row r="361" spans="1:17" x14ac:dyDescent="0.25">
      <c r="A361" s="3" t="s">
        <v>813</v>
      </c>
      <c r="B361" s="3" t="s">
        <v>814</v>
      </c>
      <c r="C361" s="3" t="s">
        <v>108</v>
      </c>
      <c r="D361" s="3">
        <v>20</v>
      </c>
      <c r="E361" s="3" t="s">
        <v>104</v>
      </c>
      <c r="F361" s="3" t="s">
        <v>105</v>
      </c>
      <c r="G361" s="3" t="s">
        <v>89</v>
      </c>
      <c r="H361" s="3">
        <v>2</v>
      </c>
      <c r="I361" s="4">
        <v>30</v>
      </c>
      <c r="K361" s="3">
        <v>1</v>
      </c>
      <c r="L361" s="3">
        <v>0.99</v>
      </c>
      <c r="M361" s="3" t="s">
        <v>74</v>
      </c>
      <c r="N361" s="3" t="s">
        <v>23</v>
      </c>
      <c r="O361" s="3">
        <v>3</v>
      </c>
      <c r="P361" s="3">
        <v>2</v>
      </c>
      <c r="Q361" s="3" t="str">
        <f t="shared" si="5"/>
        <v>Average</v>
      </c>
    </row>
    <row r="362" spans="1:17" customFormat="1" hidden="1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s="1" t="s">
        <v>63</v>
      </c>
      <c r="J362">
        <v>2.6</v>
      </c>
      <c r="K362">
        <v>0</v>
      </c>
      <c r="L362">
        <v>0.61</v>
      </c>
      <c r="M362" t="s">
        <v>74</v>
      </c>
      <c r="N362" t="s">
        <v>67</v>
      </c>
      <c r="O362">
        <v>10</v>
      </c>
      <c r="P362">
        <v>5</v>
      </c>
      <c r="Q362" t="str">
        <f t="shared" si="5"/>
        <v>Average</v>
      </c>
    </row>
    <row r="363" spans="1:17" customFormat="1" hidden="1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s="1" t="s">
        <v>109</v>
      </c>
      <c r="J363">
        <v>1.6</v>
      </c>
      <c r="K363">
        <v>1</v>
      </c>
      <c r="L363">
        <v>0.61</v>
      </c>
      <c r="M363" t="s">
        <v>22</v>
      </c>
      <c r="N363" t="s">
        <v>67</v>
      </c>
      <c r="O363">
        <v>10</v>
      </c>
      <c r="P363">
        <v>10</v>
      </c>
      <c r="Q363" t="str">
        <f t="shared" si="5"/>
        <v>Average</v>
      </c>
    </row>
    <row r="364" spans="1:17" customFormat="1" hidden="1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s="1" t="s">
        <v>52</v>
      </c>
      <c r="J364">
        <v>2.2999999999999998</v>
      </c>
      <c r="K364">
        <v>0</v>
      </c>
      <c r="L364">
        <v>0.91</v>
      </c>
      <c r="M364" t="s">
        <v>74</v>
      </c>
      <c r="N364" t="s">
        <v>67</v>
      </c>
      <c r="O364">
        <v>2</v>
      </c>
      <c r="P364">
        <v>1</v>
      </c>
      <c r="Q364" t="str">
        <f t="shared" si="5"/>
        <v>Average</v>
      </c>
    </row>
    <row r="365" spans="1:17" x14ac:dyDescent="0.25">
      <c r="A365" s="3" t="s">
        <v>821</v>
      </c>
      <c r="B365" s="3" t="s">
        <v>822</v>
      </c>
      <c r="C365" s="3" t="s">
        <v>26</v>
      </c>
      <c r="D365" s="3">
        <v>44</v>
      </c>
      <c r="E365" s="3" t="s">
        <v>139</v>
      </c>
      <c r="F365" s="3" t="s">
        <v>28</v>
      </c>
      <c r="G365" s="3" t="s">
        <v>89</v>
      </c>
      <c r="H365" s="3">
        <v>6</v>
      </c>
      <c r="I365" s="4">
        <v>75</v>
      </c>
      <c r="J365" s="3">
        <v>4.5999999999999996</v>
      </c>
      <c r="K365" s="3" t="s">
        <v>85</v>
      </c>
      <c r="L365" s="3">
        <v>72</v>
      </c>
      <c r="M365" s="3" t="s">
        <v>53</v>
      </c>
      <c r="N365" s="3" t="s">
        <v>38</v>
      </c>
      <c r="O365" s="3">
        <v>13</v>
      </c>
      <c r="P365" s="3">
        <v>1</v>
      </c>
      <c r="Q365" s="3" t="str">
        <f t="shared" si="5"/>
        <v>GOOD</v>
      </c>
    </row>
    <row r="366" spans="1:17" customFormat="1" hidden="1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1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  <c r="Q366" t="str">
        <f t="shared" si="5"/>
        <v>Average</v>
      </c>
    </row>
    <row r="367" spans="1:17" x14ac:dyDescent="0.25">
      <c r="A367" s="3" t="s">
        <v>825</v>
      </c>
      <c r="B367" s="3" t="s">
        <v>826</v>
      </c>
      <c r="C367" s="3" t="s">
        <v>46</v>
      </c>
      <c r="D367" s="3">
        <v>40</v>
      </c>
      <c r="E367" s="3" t="s">
        <v>123</v>
      </c>
      <c r="F367" s="3" t="s">
        <v>124</v>
      </c>
      <c r="G367" s="3" t="s">
        <v>21</v>
      </c>
      <c r="I367" s="4">
        <v>40</v>
      </c>
      <c r="J367" s="3">
        <v>1.5</v>
      </c>
      <c r="K367" s="3" t="b">
        <v>0</v>
      </c>
      <c r="L367" s="3">
        <v>0.96</v>
      </c>
      <c r="M367" s="3" t="s">
        <v>74</v>
      </c>
      <c r="N367" s="3" t="s">
        <v>23</v>
      </c>
      <c r="O367" s="3">
        <v>4</v>
      </c>
      <c r="P367" s="3">
        <v>3</v>
      </c>
      <c r="Q367" s="3" t="str">
        <f t="shared" si="5"/>
        <v>Average</v>
      </c>
    </row>
    <row r="368" spans="1:17" customFormat="1" hidden="1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s="1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  <c r="Q368" t="str">
        <f t="shared" si="5"/>
        <v>Average</v>
      </c>
    </row>
    <row r="369" spans="1:17" customFormat="1" hidden="1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I369" s="1"/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  <c r="Q369" t="str">
        <f t="shared" si="5"/>
        <v>Average</v>
      </c>
    </row>
    <row r="370" spans="1:17" customFormat="1" hidden="1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s="1" t="s">
        <v>43</v>
      </c>
      <c r="J370">
        <v>4.3</v>
      </c>
      <c r="K370">
        <v>1</v>
      </c>
      <c r="L370">
        <v>0.63</v>
      </c>
      <c r="M370" t="s">
        <v>79</v>
      </c>
      <c r="N370" t="s">
        <v>23</v>
      </c>
      <c r="O370">
        <v>2</v>
      </c>
      <c r="P370">
        <v>4</v>
      </c>
      <c r="Q370" t="str">
        <f t="shared" si="5"/>
        <v>GOOD</v>
      </c>
    </row>
    <row r="371" spans="1:17" customFormat="1" hidden="1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s="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  <c r="Q371" t="str">
        <f t="shared" si="5"/>
        <v>Average</v>
      </c>
    </row>
    <row r="372" spans="1:17" customFormat="1" hidden="1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s="1" t="s">
        <v>60</v>
      </c>
      <c r="J372">
        <v>2.6</v>
      </c>
      <c r="K372" t="s">
        <v>37</v>
      </c>
      <c r="L372">
        <v>0.83</v>
      </c>
      <c r="M372" t="s">
        <v>79</v>
      </c>
      <c r="N372" t="s">
        <v>31</v>
      </c>
      <c r="O372">
        <v>13</v>
      </c>
      <c r="P372">
        <v>9</v>
      </c>
      <c r="Q372" t="str">
        <f t="shared" si="5"/>
        <v>Average</v>
      </c>
    </row>
    <row r="373" spans="1:17" customFormat="1" hidden="1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s="1" t="s">
        <v>325</v>
      </c>
      <c r="J373">
        <v>4.0999999999999996</v>
      </c>
      <c r="L373">
        <v>0.94</v>
      </c>
      <c r="M373" t="s">
        <v>79</v>
      </c>
      <c r="N373" t="s">
        <v>67</v>
      </c>
      <c r="O373">
        <v>8</v>
      </c>
      <c r="P373">
        <v>5</v>
      </c>
      <c r="Q373" t="str">
        <f t="shared" si="5"/>
        <v>GOOD</v>
      </c>
    </row>
    <row r="374" spans="1:17" customFormat="1" hidden="1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s="1" t="s">
        <v>43</v>
      </c>
      <c r="J374">
        <v>2.2000000000000002</v>
      </c>
      <c r="K374">
        <v>1</v>
      </c>
      <c r="L374">
        <v>0.78</v>
      </c>
      <c r="M374" t="s">
        <v>53</v>
      </c>
      <c r="N374" t="s">
        <v>67</v>
      </c>
      <c r="O374">
        <v>10</v>
      </c>
      <c r="P374">
        <v>14</v>
      </c>
      <c r="Q374" t="str">
        <f t="shared" si="5"/>
        <v>Average</v>
      </c>
    </row>
    <row r="375" spans="1:17" x14ac:dyDescent="0.25">
      <c r="A375" s="3" t="s">
        <v>841</v>
      </c>
      <c r="B375" s="3" t="s">
        <v>842</v>
      </c>
      <c r="C375" s="3" t="s">
        <v>46</v>
      </c>
      <c r="D375" s="3">
        <v>39</v>
      </c>
      <c r="E375" s="3" t="s">
        <v>49</v>
      </c>
      <c r="F375" s="3" t="s">
        <v>50</v>
      </c>
      <c r="G375" s="3" t="s">
        <v>59</v>
      </c>
      <c r="H375" s="3">
        <v>13</v>
      </c>
      <c r="I375" s="4">
        <v>30</v>
      </c>
      <c r="J375" s="3">
        <v>1.1000000000000001</v>
      </c>
      <c r="K375" s="3">
        <v>1</v>
      </c>
      <c r="M375" s="3" t="s">
        <v>53</v>
      </c>
      <c r="N375" s="3" t="s">
        <v>23</v>
      </c>
      <c r="O375" s="3">
        <v>8</v>
      </c>
      <c r="P375" s="3">
        <v>4</v>
      </c>
      <c r="Q375" s="3" t="str">
        <f t="shared" si="5"/>
        <v>Average</v>
      </c>
    </row>
    <row r="376" spans="1:17" customFormat="1" hidden="1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s="1" t="s">
        <v>73</v>
      </c>
      <c r="J376">
        <v>2.1</v>
      </c>
      <c r="K376">
        <v>1</v>
      </c>
      <c r="L376">
        <v>0.82</v>
      </c>
      <c r="M376" t="s">
        <v>53</v>
      </c>
      <c r="N376" t="s">
        <v>38</v>
      </c>
      <c r="O376">
        <v>1</v>
      </c>
      <c r="P376">
        <v>1</v>
      </c>
      <c r="Q376" t="str">
        <f t="shared" si="5"/>
        <v>Average</v>
      </c>
    </row>
    <row r="377" spans="1:17" customFormat="1" hidden="1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s="1" t="s">
        <v>52</v>
      </c>
      <c r="J377">
        <v>2.2999999999999998</v>
      </c>
      <c r="K377" t="b">
        <v>0</v>
      </c>
      <c r="L377">
        <v>0.66</v>
      </c>
      <c r="M377" t="s">
        <v>22</v>
      </c>
      <c r="N377" t="s">
        <v>38</v>
      </c>
      <c r="O377">
        <v>4</v>
      </c>
      <c r="P377">
        <v>5</v>
      </c>
      <c r="Q377" t="str">
        <f t="shared" si="5"/>
        <v>Average</v>
      </c>
    </row>
    <row r="378" spans="1:17" customFormat="1" hidden="1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I378" s="1"/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  <c r="Q378" t="str">
        <f t="shared" si="5"/>
        <v>GOOD</v>
      </c>
    </row>
    <row r="379" spans="1:17" customFormat="1" hidden="1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s="1" t="s">
        <v>325</v>
      </c>
      <c r="J379">
        <v>4.7</v>
      </c>
      <c r="K379" t="b">
        <v>1</v>
      </c>
      <c r="L379">
        <v>0.84</v>
      </c>
      <c r="M379" t="s">
        <v>53</v>
      </c>
      <c r="N379" t="s">
        <v>38</v>
      </c>
      <c r="O379">
        <v>4</v>
      </c>
      <c r="P379">
        <v>4</v>
      </c>
      <c r="Q379" t="str">
        <f t="shared" si="5"/>
        <v>GOOD</v>
      </c>
    </row>
    <row r="380" spans="1:17" x14ac:dyDescent="0.25">
      <c r="A380" s="3" t="s">
        <v>851</v>
      </c>
      <c r="B380" s="3" t="s">
        <v>852</v>
      </c>
      <c r="C380" s="3" t="s">
        <v>70</v>
      </c>
      <c r="D380" s="3">
        <v>27</v>
      </c>
      <c r="E380" s="3" t="s">
        <v>139</v>
      </c>
      <c r="F380" s="3" t="s">
        <v>28</v>
      </c>
      <c r="G380" s="3" t="s">
        <v>89</v>
      </c>
      <c r="H380" s="3">
        <v>8</v>
      </c>
      <c r="I380" s="4">
        <v>20</v>
      </c>
      <c r="J380" s="3">
        <v>4.8</v>
      </c>
      <c r="K380" s="3" t="s">
        <v>37</v>
      </c>
      <c r="L380" s="3">
        <v>0.81</v>
      </c>
      <c r="M380" s="3" t="s">
        <v>53</v>
      </c>
      <c r="N380" s="3" t="s">
        <v>31</v>
      </c>
      <c r="O380" s="3">
        <v>6</v>
      </c>
      <c r="P380" s="3">
        <v>8</v>
      </c>
      <c r="Q380" s="3" t="str">
        <f t="shared" si="5"/>
        <v>GOOD</v>
      </c>
    </row>
    <row r="381" spans="1:17" x14ac:dyDescent="0.25">
      <c r="A381" s="3" t="s">
        <v>853</v>
      </c>
      <c r="B381" s="3" t="s">
        <v>854</v>
      </c>
      <c r="C381" s="3" t="s">
        <v>108</v>
      </c>
      <c r="D381" s="3">
        <v>58</v>
      </c>
      <c r="E381" s="3" t="s">
        <v>164</v>
      </c>
      <c r="F381" s="3" t="s">
        <v>165</v>
      </c>
      <c r="G381" s="3" t="s">
        <v>51</v>
      </c>
      <c r="H381" s="3">
        <v>10</v>
      </c>
      <c r="I381" s="4">
        <v>75</v>
      </c>
      <c r="J381" s="3">
        <v>4.2</v>
      </c>
      <c r="K381" s="3" t="s">
        <v>37</v>
      </c>
      <c r="L381" s="3">
        <v>71</v>
      </c>
      <c r="M381" s="3" t="s">
        <v>53</v>
      </c>
      <c r="N381" s="3" t="s">
        <v>67</v>
      </c>
      <c r="O381" s="3">
        <v>7</v>
      </c>
      <c r="P381" s="3">
        <v>5</v>
      </c>
      <c r="Q381" s="3" t="str">
        <f t="shared" si="5"/>
        <v>GOOD</v>
      </c>
    </row>
    <row r="382" spans="1:17" customFormat="1" hidden="1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I382" s="1"/>
      <c r="J382">
        <v>4.8</v>
      </c>
      <c r="K382">
        <v>1</v>
      </c>
      <c r="L382">
        <v>0.61</v>
      </c>
      <c r="M382" t="s">
        <v>74</v>
      </c>
      <c r="N382" t="s">
        <v>23</v>
      </c>
      <c r="O382">
        <v>2</v>
      </c>
      <c r="P382">
        <v>1</v>
      </c>
      <c r="Q382" t="str">
        <f t="shared" si="5"/>
        <v>GOOD</v>
      </c>
    </row>
    <row r="383" spans="1:17" x14ac:dyDescent="0.25">
      <c r="A383" s="3" t="s">
        <v>857</v>
      </c>
      <c r="B383" s="3" t="s">
        <v>858</v>
      </c>
      <c r="C383" s="3" t="s">
        <v>70</v>
      </c>
      <c r="D383" s="3">
        <v>39</v>
      </c>
      <c r="E383" s="3" t="s">
        <v>201</v>
      </c>
      <c r="F383" s="3" t="s">
        <v>83</v>
      </c>
      <c r="G383" s="3" t="s">
        <v>21</v>
      </c>
      <c r="H383" s="3">
        <v>18</v>
      </c>
      <c r="I383" s="4">
        <v>75</v>
      </c>
      <c r="J383" s="3">
        <v>4</v>
      </c>
      <c r="K383" s="3">
        <v>1</v>
      </c>
      <c r="L383" s="3">
        <v>0.66</v>
      </c>
      <c r="M383" s="3" t="s">
        <v>22</v>
      </c>
      <c r="N383" s="3" t="s">
        <v>23</v>
      </c>
      <c r="O383" s="3">
        <v>10</v>
      </c>
      <c r="P383" s="3">
        <v>8</v>
      </c>
      <c r="Q383" s="3" t="str">
        <f t="shared" si="5"/>
        <v>GOOD</v>
      </c>
    </row>
    <row r="384" spans="1:17" customFormat="1" hidden="1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s="1" t="s">
        <v>132</v>
      </c>
      <c r="J384">
        <v>2.5</v>
      </c>
      <c r="K384" t="b">
        <v>1</v>
      </c>
      <c r="L384">
        <v>0.97</v>
      </c>
      <c r="M384" t="s">
        <v>79</v>
      </c>
      <c r="N384" t="s">
        <v>38</v>
      </c>
      <c r="O384">
        <v>13</v>
      </c>
      <c r="P384">
        <v>2</v>
      </c>
      <c r="Q384" t="str">
        <f t="shared" si="5"/>
        <v>Average</v>
      </c>
    </row>
    <row r="385" spans="1:17" customFormat="1" hidden="1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s="1" t="s">
        <v>325</v>
      </c>
      <c r="J385">
        <v>4.8</v>
      </c>
      <c r="K385">
        <v>0</v>
      </c>
      <c r="L385">
        <v>0.74</v>
      </c>
      <c r="M385" t="s">
        <v>53</v>
      </c>
      <c r="N385" t="s">
        <v>23</v>
      </c>
      <c r="O385">
        <v>2</v>
      </c>
      <c r="P385">
        <v>1</v>
      </c>
      <c r="Q385" t="str">
        <f t="shared" si="5"/>
        <v>GOOD</v>
      </c>
    </row>
    <row r="386" spans="1:17" x14ac:dyDescent="0.25">
      <c r="A386" s="3" t="s">
        <v>863</v>
      </c>
      <c r="B386" s="3" t="s">
        <v>864</v>
      </c>
      <c r="C386" s="3" t="s">
        <v>18</v>
      </c>
      <c r="D386" s="3">
        <v>39</v>
      </c>
      <c r="E386" s="3" t="s">
        <v>190</v>
      </c>
      <c r="F386" s="3" t="s">
        <v>83</v>
      </c>
      <c r="G386" s="3" t="s">
        <v>21</v>
      </c>
      <c r="H386" s="3">
        <v>21</v>
      </c>
      <c r="I386" s="4">
        <v>30</v>
      </c>
      <c r="J386" s="3">
        <v>4.7</v>
      </c>
      <c r="K386" s="3" t="b">
        <v>0</v>
      </c>
      <c r="L386" s="3">
        <v>0.61</v>
      </c>
      <c r="M386" s="3" t="s">
        <v>74</v>
      </c>
      <c r="N386" s="3" t="s">
        <v>31</v>
      </c>
      <c r="O386" s="3">
        <v>15</v>
      </c>
      <c r="P386" s="3">
        <v>6</v>
      </c>
      <c r="Q386" s="3" t="str">
        <f t="shared" ref="Q386:Q449" si="6">IF(J386&lt;3.5,"Average","GOOD")</f>
        <v>GOOD</v>
      </c>
    </row>
    <row r="387" spans="1:17" x14ac:dyDescent="0.25">
      <c r="A387" s="3" t="s">
        <v>865</v>
      </c>
      <c r="B387" s="3" t="s">
        <v>866</v>
      </c>
      <c r="C387" s="3" t="s">
        <v>103</v>
      </c>
      <c r="D387" s="3">
        <v>59</v>
      </c>
      <c r="E387" s="3" t="s">
        <v>150</v>
      </c>
      <c r="F387" s="3" t="s">
        <v>151</v>
      </c>
      <c r="G387" s="3" t="s">
        <v>21</v>
      </c>
      <c r="H387" s="3">
        <v>25</v>
      </c>
      <c r="I387" s="4">
        <v>20</v>
      </c>
      <c r="J387" s="3">
        <v>4</v>
      </c>
      <c r="K387" s="3">
        <v>0</v>
      </c>
      <c r="L387" s="3">
        <v>0.9</v>
      </c>
      <c r="M387" s="3" t="s">
        <v>74</v>
      </c>
      <c r="N387" s="3" t="s">
        <v>38</v>
      </c>
      <c r="O387" s="3">
        <v>15</v>
      </c>
      <c r="P387" s="3">
        <v>9</v>
      </c>
      <c r="Q387" s="3" t="str">
        <f t="shared" si="6"/>
        <v>GOOD</v>
      </c>
    </row>
    <row r="388" spans="1:17" customFormat="1" hidden="1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s="1" t="s">
        <v>43</v>
      </c>
      <c r="J388">
        <v>4.0999999999999996</v>
      </c>
      <c r="K388" t="s">
        <v>85</v>
      </c>
      <c r="L388">
        <v>0.97</v>
      </c>
      <c r="M388" t="s">
        <v>74</v>
      </c>
      <c r="N388" t="s">
        <v>38</v>
      </c>
      <c r="O388">
        <v>4</v>
      </c>
      <c r="P388">
        <v>1</v>
      </c>
      <c r="Q388" t="str">
        <f t="shared" si="6"/>
        <v>GOOD</v>
      </c>
    </row>
    <row r="389" spans="1:17" x14ac:dyDescent="0.25">
      <c r="A389" s="3" t="s">
        <v>869</v>
      </c>
      <c r="B389" s="3" t="s">
        <v>870</v>
      </c>
      <c r="C389" s="3" t="s">
        <v>26</v>
      </c>
      <c r="D389" s="3">
        <v>23</v>
      </c>
      <c r="E389" s="3" t="s">
        <v>139</v>
      </c>
      <c r="F389" s="3" t="s">
        <v>28</v>
      </c>
      <c r="G389" s="3" t="s">
        <v>100</v>
      </c>
      <c r="H389" s="3">
        <v>5</v>
      </c>
      <c r="I389" s="4">
        <v>100</v>
      </c>
      <c r="J389" s="3">
        <v>3.2</v>
      </c>
      <c r="K389" s="3">
        <v>1</v>
      </c>
      <c r="M389" s="3" t="s">
        <v>79</v>
      </c>
      <c r="N389" s="3" t="s">
        <v>38</v>
      </c>
      <c r="O389" s="3">
        <v>5</v>
      </c>
      <c r="P389" s="3">
        <v>5</v>
      </c>
      <c r="Q389" s="3" t="str">
        <f t="shared" si="6"/>
        <v>Average</v>
      </c>
    </row>
    <row r="390" spans="1:17" x14ac:dyDescent="0.25">
      <c r="A390" s="3" t="s">
        <v>871</v>
      </c>
      <c r="B390" s="3" t="s">
        <v>872</v>
      </c>
      <c r="C390" s="3" t="s">
        <v>56</v>
      </c>
      <c r="D390" s="3">
        <v>27</v>
      </c>
      <c r="E390" s="3" t="s">
        <v>150</v>
      </c>
      <c r="F390" s="3" t="s">
        <v>151</v>
      </c>
      <c r="G390" s="3" t="s">
        <v>42</v>
      </c>
      <c r="H390" s="3">
        <v>1</v>
      </c>
      <c r="I390" s="4">
        <v>20</v>
      </c>
      <c r="J390" s="3">
        <v>4.3</v>
      </c>
      <c r="K390" s="3" t="s">
        <v>37</v>
      </c>
      <c r="L390" s="3">
        <v>0.76</v>
      </c>
      <c r="M390" s="3" t="s">
        <v>53</v>
      </c>
      <c r="N390" s="3" t="s">
        <v>38</v>
      </c>
      <c r="O390" s="3">
        <v>4</v>
      </c>
      <c r="P390" s="3">
        <v>3</v>
      </c>
      <c r="Q390" s="3" t="str">
        <f t="shared" si="6"/>
        <v>GOOD</v>
      </c>
    </row>
    <row r="391" spans="1:17" x14ac:dyDescent="0.25">
      <c r="A391" s="3" t="s">
        <v>873</v>
      </c>
      <c r="B391" s="3" t="s">
        <v>874</v>
      </c>
      <c r="C391" s="3" t="s">
        <v>56</v>
      </c>
      <c r="D391" s="3">
        <v>27</v>
      </c>
      <c r="E391" s="3" t="s">
        <v>186</v>
      </c>
      <c r="F391" s="3" t="s">
        <v>187</v>
      </c>
      <c r="G391" s="3" t="s">
        <v>89</v>
      </c>
      <c r="H391" s="3">
        <v>4</v>
      </c>
      <c r="I391" s="4">
        <v>40</v>
      </c>
      <c r="J391" s="3">
        <v>4.4000000000000004</v>
      </c>
      <c r="K391" s="3">
        <v>0</v>
      </c>
      <c r="L391" s="3">
        <v>0.92</v>
      </c>
      <c r="M391" s="3" t="s">
        <v>22</v>
      </c>
      <c r="N391" s="3" t="s">
        <v>31</v>
      </c>
      <c r="O391" s="3">
        <v>4</v>
      </c>
      <c r="P391" s="3">
        <v>4</v>
      </c>
      <c r="Q391" s="3" t="str">
        <f t="shared" si="6"/>
        <v>GOOD</v>
      </c>
    </row>
    <row r="392" spans="1:17" x14ac:dyDescent="0.25">
      <c r="A392" s="3" t="s">
        <v>875</v>
      </c>
      <c r="B392" s="3" t="s">
        <v>876</v>
      </c>
      <c r="C392" s="3" t="s">
        <v>41</v>
      </c>
      <c r="D392" s="3">
        <v>48</v>
      </c>
      <c r="E392" s="3" t="s">
        <v>164</v>
      </c>
      <c r="F392" s="3" t="s">
        <v>165</v>
      </c>
      <c r="G392" s="3" t="s">
        <v>59</v>
      </c>
      <c r="H392" s="3">
        <v>21</v>
      </c>
      <c r="I392" s="4">
        <v>40</v>
      </c>
      <c r="J392" s="3">
        <v>2.2999999999999998</v>
      </c>
      <c r="K392" s="3">
        <v>0</v>
      </c>
      <c r="M392" s="3" t="s">
        <v>22</v>
      </c>
      <c r="N392" s="3" t="s">
        <v>38</v>
      </c>
      <c r="O392" s="3">
        <v>14</v>
      </c>
      <c r="P392" s="3">
        <v>10</v>
      </c>
      <c r="Q392" s="3" t="str">
        <f t="shared" si="6"/>
        <v>Average</v>
      </c>
    </row>
    <row r="393" spans="1:17" customFormat="1" hidden="1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s="1" t="s">
        <v>132</v>
      </c>
      <c r="J393">
        <v>2.4</v>
      </c>
      <c r="K393">
        <v>1</v>
      </c>
      <c r="L393">
        <v>0.66</v>
      </c>
      <c r="M393" t="s">
        <v>74</v>
      </c>
      <c r="N393" t="s">
        <v>23</v>
      </c>
      <c r="O393">
        <v>4</v>
      </c>
      <c r="P393">
        <v>4</v>
      </c>
      <c r="Q393" t="str">
        <f t="shared" si="6"/>
        <v>Average</v>
      </c>
    </row>
    <row r="394" spans="1:17" x14ac:dyDescent="0.25">
      <c r="A394" s="3" t="s">
        <v>879</v>
      </c>
      <c r="B394" s="3" t="s">
        <v>880</v>
      </c>
      <c r="C394" s="3" t="s">
        <v>56</v>
      </c>
      <c r="D394" s="3">
        <v>37</v>
      </c>
      <c r="E394" s="3" t="s">
        <v>19</v>
      </c>
      <c r="F394" s="3" t="s">
        <v>20</v>
      </c>
      <c r="G394" s="3" t="s">
        <v>100</v>
      </c>
      <c r="I394" s="4">
        <v>50</v>
      </c>
      <c r="J394" s="3">
        <v>4.5999999999999996</v>
      </c>
      <c r="K394" s="3">
        <v>0</v>
      </c>
      <c r="L394" s="3">
        <v>0.83</v>
      </c>
      <c r="M394" s="3" t="s">
        <v>79</v>
      </c>
      <c r="N394" s="3" t="s">
        <v>31</v>
      </c>
      <c r="O394" s="3">
        <v>1</v>
      </c>
      <c r="P394" s="3">
        <v>1</v>
      </c>
      <c r="Q394" s="3" t="str">
        <f t="shared" si="6"/>
        <v>GOOD</v>
      </c>
    </row>
    <row r="395" spans="1:17" x14ac:dyDescent="0.25">
      <c r="A395" s="3" t="s">
        <v>881</v>
      </c>
      <c r="B395" s="3" t="s">
        <v>882</v>
      </c>
      <c r="C395" s="3" t="s">
        <v>41</v>
      </c>
      <c r="D395" s="3">
        <v>31</v>
      </c>
      <c r="E395" s="3" t="s">
        <v>35</v>
      </c>
      <c r="F395" s="3" t="s">
        <v>35</v>
      </c>
      <c r="G395" s="3" t="s">
        <v>84</v>
      </c>
      <c r="H395" s="3">
        <v>10</v>
      </c>
      <c r="I395" s="4">
        <v>50</v>
      </c>
      <c r="J395" s="3">
        <v>0</v>
      </c>
      <c r="K395" s="3" t="s">
        <v>170</v>
      </c>
      <c r="M395" s="3" t="s">
        <v>79</v>
      </c>
      <c r="N395" s="3" t="s">
        <v>67</v>
      </c>
      <c r="O395" s="3">
        <v>10</v>
      </c>
      <c r="P395" s="3">
        <v>4</v>
      </c>
      <c r="Q395" s="3" t="str">
        <f t="shared" si="6"/>
        <v>Average</v>
      </c>
    </row>
    <row r="396" spans="1:17" customFormat="1" hidden="1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I396" s="1"/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  <c r="Q396" t="str">
        <f t="shared" si="6"/>
        <v>Average</v>
      </c>
    </row>
    <row r="397" spans="1:17" customFormat="1" hidden="1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s="1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  <c r="Q397" t="str">
        <f t="shared" si="6"/>
        <v>GOOD</v>
      </c>
    </row>
    <row r="398" spans="1:17" x14ac:dyDescent="0.25">
      <c r="A398" s="3" t="s">
        <v>887</v>
      </c>
      <c r="B398" s="3" t="s">
        <v>888</v>
      </c>
      <c r="C398" s="3" t="s">
        <v>26</v>
      </c>
      <c r="D398" s="3">
        <v>58</v>
      </c>
      <c r="E398" s="3" t="s">
        <v>82</v>
      </c>
      <c r="F398" s="3" t="s">
        <v>83</v>
      </c>
      <c r="G398" s="3" t="s">
        <v>59</v>
      </c>
      <c r="H398" s="3">
        <v>0</v>
      </c>
      <c r="I398" s="4">
        <v>50</v>
      </c>
      <c r="J398" s="3">
        <v>2.2999999999999998</v>
      </c>
      <c r="K398" s="3">
        <v>0</v>
      </c>
      <c r="L398" s="3">
        <v>0.77</v>
      </c>
      <c r="M398" s="3" t="s">
        <v>74</v>
      </c>
      <c r="N398" s="3" t="s">
        <v>23</v>
      </c>
      <c r="O398" s="3">
        <v>5</v>
      </c>
      <c r="P398" s="3">
        <v>2</v>
      </c>
      <c r="Q398" s="3" t="str">
        <f t="shared" si="6"/>
        <v>Average</v>
      </c>
    </row>
    <row r="399" spans="1:17" customFormat="1" hidden="1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s="1" t="s">
        <v>73</v>
      </c>
      <c r="J399">
        <v>4.7</v>
      </c>
      <c r="K399">
        <v>1</v>
      </c>
      <c r="L399">
        <v>0.73</v>
      </c>
      <c r="M399" t="s">
        <v>53</v>
      </c>
      <c r="N399" t="s">
        <v>31</v>
      </c>
      <c r="O399">
        <v>15</v>
      </c>
      <c r="P399">
        <v>11</v>
      </c>
      <c r="Q399" t="str">
        <f t="shared" si="6"/>
        <v>GOOD</v>
      </c>
    </row>
    <row r="400" spans="1:17" customFormat="1" hidden="1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I400" s="1"/>
      <c r="J400">
        <v>3</v>
      </c>
      <c r="K400">
        <v>1</v>
      </c>
      <c r="L400">
        <v>0.88</v>
      </c>
      <c r="M400" t="s">
        <v>22</v>
      </c>
      <c r="N400" t="s">
        <v>67</v>
      </c>
      <c r="O400">
        <v>2</v>
      </c>
      <c r="P400">
        <v>4</v>
      </c>
      <c r="Q400" t="str">
        <f t="shared" si="6"/>
        <v>Average</v>
      </c>
    </row>
    <row r="401" spans="1:17" customFormat="1" hidden="1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s="1" t="s">
        <v>120</v>
      </c>
      <c r="J401">
        <v>2.4</v>
      </c>
      <c r="K401">
        <v>0</v>
      </c>
      <c r="L401">
        <v>0.81</v>
      </c>
      <c r="M401" t="s">
        <v>74</v>
      </c>
      <c r="N401" t="s">
        <v>67</v>
      </c>
      <c r="O401">
        <v>2</v>
      </c>
      <c r="P401">
        <v>3</v>
      </c>
      <c r="Q401" t="str">
        <f t="shared" si="6"/>
        <v>Average</v>
      </c>
    </row>
    <row r="402" spans="1:17" x14ac:dyDescent="0.25">
      <c r="A402" s="3" t="s">
        <v>895</v>
      </c>
      <c r="B402" s="3" t="s">
        <v>896</v>
      </c>
      <c r="C402" s="3" t="s">
        <v>103</v>
      </c>
      <c r="D402" s="3">
        <v>22</v>
      </c>
      <c r="E402" s="3" t="s">
        <v>135</v>
      </c>
      <c r="F402" s="3" t="s">
        <v>136</v>
      </c>
      <c r="G402" s="3" t="s">
        <v>59</v>
      </c>
      <c r="H402" s="3">
        <v>1</v>
      </c>
      <c r="I402" s="4">
        <v>20</v>
      </c>
      <c r="J402" s="3">
        <v>1.7</v>
      </c>
      <c r="K402" s="3" t="s">
        <v>37</v>
      </c>
      <c r="L402" s="3">
        <v>0.78</v>
      </c>
      <c r="M402" s="3" t="s">
        <v>74</v>
      </c>
      <c r="N402" s="3" t="s">
        <v>67</v>
      </c>
      <c r="O402" s="3">
        <v>1</v>
      </c>
      <c r="P402" s="3">
        <v>2</v>
      </c>
      <c r="Q402" s="3" t="str">
        <f t="shared" si="6"/>
        <v>Average</v>
      </c>
    </row>
    <row r="403" spans="1:17" x14ac:dyDescent="0.25">
      <c r="A403" s="3" t="s">
        <v>897</v>
      </c>
      <c r="B403" s="3" t="s">
        <v>898</v>
      </c>
      <c r="C403" s="3" t="s">
        <v>103</v>
      </c>
      <c r="D403" s="3">
        <v>36</v>
      </c>
      <c r="E403" s="3" t="s">
        <v>71</v>
      </c>
      <c r="F403" s="3" t="s">
        <v>72</v>
      </c>
      <c r="G403" s="3" t="s">
        <v>89</v>
      </c>
      <c r="H403" s="3">
        <v>2</v>
      </c>
      <c r="I403" s="4">
        <v>75</v>
      </c>
      <c r="J403" s="3">
        <v>0</v>
      </c>
      <c r="K403" s="3" t="b">
        <v>0</v>
      </c>
      <c r="L403" s="3">
        <v>0.92</v>
      </c>
      <c r="M403" s="3" t="s">
        <v>53</v>
      </c>
      <c r="N403" s="3" t="s">
        <v>67</v>
      </c>
      <c r="O403" s="3">
        <v>5</v>
      </c>
      <c r="P403" s="3">
        <v>1</v>
      </c>
      <c r="Q403" s="3" t="str">
        <f t="shared" si="6"/>
        <v>Average</v>
      </c>
    </row>
    <row r="404" spans="1:17" customFormat="1" hidden="1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s="1" t="s">
        <v>52</v>
      </c>
      <c r="K404">
        <v>0</v>
      </c>
      <c r="L404">
        <v>0.64</v>
      </c>
      <c r="M404" t="s">
        <v>53</v>
      </c>
      <c r="N404" t="s">
        <v>67</v>
      </c>
      <c r="O404">
        <v>12</v>
      </c>
      <c r="P404">
        <v>15</v>
      </c>
      <c r="Q404" t="str">
        <f t="shared" si="6"/>
        <v>Average</v>
      </c>
    </row>
    <row r="405" spans="1:17" x14ac:dyDescent="0.25">
      <c r="A405" s="3" t="s">
        <v>901</v>
      </c>
      <c r="B405" s="3" t="s">
        <v>902</v>
      </c>
      <c r="C405" s="3" t="s">
        <v>88</v>
      </c>
      <c r="D405" s="3">
        <v>41</v>
      </c>
      <c r="E405" s="3" t="s">
        <v>27</v>
      </c>
      <c r="F405" s="3" t="s">
        <v>28</v>
      </c>
      <c r="G405" s="3" t="s">
        <v>21</v>
      </c>
      <c r="H405" s="3">
        <v>14</v>
      </c>
      <c r="I405" s="4">
        <v>30</v>
      </c>
      <c r="J405" s="3">
        <v>0</v>
      </c>
      <c r="K405" s="3" t="s">
        <v>85</v>
      </c>
      <c r="L405" s="3">
        <v>0.78</v>
      </c>
      <c r="M405" s="3" t="s">
        <v>53</v>
      </c>
      <c r="N405" s="3" t="s">
        <v>38</v>
      </c>
      <c r="O405" s="3">
        <v>7</v>
      </c>
      <c r="P405" s="3">
        <v>10</v>
      </c>
      <c r="Q405" s="3" t="str">
        <f t="shared" si="6"/>
        <v>Average</v>
      </c>
    </row>
    <row r="406" spans="1:17" x14ac:dyDescent="0.25">
      <c r="A406" s="3" t="s">
        <v>903</v>
      </c>
      <c r="B406" s="3" t="s">
        <v>904</v>
      </c>
      <c r="C406" s="3" t="s">
        <v>103</v>
      </c>
      <c r="E406" s="3" t="s">
        <v>164</v>
      </c>
      <c r="F406" s="3" t="s">
        <v>165</v>
      </c>
      <c r="G406" s="3" t="s">
        <v>42</v>
      </c>
      <c r="H406" s="3">
        <v>10</v>
      </c>
      <c r="I406" s="4">
        <v>20</v>
      </c>
      <c r="J406" s="3">
        <v>1.8</v>
      </c>
      <c r="K406" s="3" t="s">
        <v>78</v>
      </c>
      <c r="L406" s="3">
        <v>85</v>
      </c>
      <c r="M406" s="3" t="s">
        <v>79</v>
      </c>
      <c r="N406" s="3" t="s">
        <v>23</v>
      </c>
      <c r="O406" s="3">
        <v>6</v>
      </c>
      <c r="P406" s="3">
        <v>4</v>
      </c>
      <c r="Q406" s="3" t="str">
        <f t="shared" si="6"/>
        <v>Average</v>
      </c>
    </row>
    <row r="407" spans="1:17" customFormat="1" hidden="1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s="1" t="s">
        <v>73</v>
      </c>
      <c r="J407">
        <v>0</v>
      </c>
      <c r="K407" t="s">
        <v>170</v>
      </c>
      <c r="L407">
        <v>0.78</v>
      </c>
      <c r="M407" t="s">
        <v>53</v>
      </c>
      <c r="N407" t="s">
        <v>38</v>
      </c>
      <c r="O407">
        <v>14</v>
      </c>
      <c r="P407">
        <v>11</v>
      </c>
      <c r="Q407" t="str">
        <f t="shared" si="6"/>
        <v>Average</v>
      </c>
    </row>
    <row r="408" spans="1:17" customFormat="1" hidden="1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s="1" t="s">
        <v>52</v>
      </c>
      <c r="J408">
        <v>3.8</v>
      </c>
      <c r="K408">
        <v>1</v>
      </c>
      <c r="L408">
        <v>0.98</v>
      </c>
      <c r="M408" t="s">
        <v>74</v>
      </c>
      <c r="N408" t="s">
        <v>67</v>
      </c>
      <c r="O408">
        <v>2</v>
      </c>
      <c r="P408">
        <v>1</v>
      </c>
      <c r="Q408" t="str">
        <f t="shared" si="6"/>
        <v>GOOD</v>
      </c>
    </row>
    <row r="409" spans="1:17" customFormat="1" hidden="1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s="1" t="s">
        <v>63</v>
      </c>
      <c r="J409">
        <v>0</v>
      </c>
      <c r="K409" t="s">
        <v>85</v>
      </c>
      <c r="L409">
        <v>0.63</v>
      </c>
      <c r="M409" t="s">
        <v>53</v>
      </c>
      <c r="N409" t="s">
        <v>31</v>
      </c>
      <c r="O409">
        <v>16</v>
      </c>
      <c r="P409">
        <v>14</v>
      </c>
      <c r="Q409" t="str">
        <f t="shared" si="6"/>
        <v>Average</v>
      </c>
    </row>
    <row r="410" spans="1:17" customFormat="1" hidden="1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s="1" t="s">
        <v>63</v>
      </c>
      <c r="J410">
        <v>3.6</v>
      </c>
      <c r="K410" t="s">
        <v>37</v>
      </c>
      <c r="L410">
        <v>0.73</v>
      </c>
      <c r="M410" t="s">
        <v>74</v>
      </c>
      <c r="N410" t="s">
        <v>31</v>
      </c>
      <c r="O410">
        <v>14</v>
      </c>
      <c r="P410">
        <v>7</v>
      </c>
      <c r="Q410" t="str">
        <f t="shared" si="6"/>
        <v>GOOD</v>
      </c>
    </row>
    <row r="411" spans="1:17" x14ac:dyDescent="0.25">
      <c r="A411" s="3" t="s">
        <v>913</v>
      </c>
      <c r="B411" s="3" t="s">
        <v>914</v>
      </c>
      <c r="C411" s="3" t="s">
        <v>18</v>
      </c>
      <c r="D411" s="3">
        <v>20</v>
      </c>
      <c r="E411" s="3" t="s">
        <v>201</v>
      </c>
      <c r="F411" s="3" t="s">
        <v>83</v>
      </c>
      <c r="G411" s="3" t="s">
        <v>36</v>
      </c>
      <c r="H411" s="3">
        <v>2</v>
      </c>
      <c r="I411" s="4">
        <v>30</v>
      </c>
      <c r="J411" s="3">
        <v>0</v>
      </c>
      <c r="K411" s="3">
        <v>0</v>
      </c>
      <c r="L411" s="3">
        <v>0.94</v>
      </c>
      <c r="M411" s="3" t="s">
        <v>22</v>
      </c>
      <c r="N411" s="3" t="s">
        <v>67</v>
      </c>
      <c r="O411" s="3">
        <v>2</v>
      </c>
      <c r="P411" s="3">
        <v>4</v>
      </c>
      <c r="Q411" s="3" t="str">
        <f t="shared" si="6"/>
        <v>Average</v>
      </c>
    </row>
    <row r="412" spans="1:17" customFormat="1" hidden="1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1" t="s">
        <v>73</v>
      </c>
      <c r="J412">
        <v>4.0999999999999996</v>
      </c>
      <c r="L412">
        <v>0.81</v>
      </c>
      <c r="M412" t="s">
        <v>79</v>
      </c>
      <c r="N412" t="s">
        <v>67</v>
      </c>
      <c r="O412">
        <v>11</v>
      </c>
      <c r="P412">
        <v>3</v>
      </c>
      <c r="Q412" t="str">
        <f t="shared" si="6"/>
        <v>GOOD</v>
      </c>
    </row>
    <row r="413" spans="1:17" customFormat="1" hidden="1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s="1" t="s">
        <v>73</v>
      </c>
      <c r="J413">
        <v>2.6</v>
      </c>
      <c r="K413">
        <v>1</v>
      </c>
      <c r="L413">
        <v>0.61</v>
      </c>
      <c r="M413" t="s">
        <v>22</v>
      </c>
      <c r="N413" t="s">
        <v>31</v>
      </c>
      <c r="O413">
        <v>20</v>
      </c>
      <c r="P413">
        <v>1</v>
      </c>
      <c r="Q413" t="str">
        <f t="shared" si="6"/>
        <v>Average</v>
      </c>
    </row>
    <row r="414" spans="1:17" customFormat="1" hidden="1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s="1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  <c r="Q414" t="str">
        <f t="shared" si="6"/>
        <v>Average</v>
      </c>
    </row>
    <row r="415" spans="1:17" x14ac:dyDescent="0.25">
      <c r="A415" s="3" t="s">
        <v>921</v>
      </c>
      <c r="B415" s="3" t="s">
        <v>922</v>
      </c>
      <c r="C415" s="3" t="s">
        <v>41</v>
      </c>
      <c r="D415" s="3">
        <v>26</v>
      </c>
      <c r="E415" s="3" t="s">
        <v>150</v>
      </c>
      <c r="F415" s="3" t="s">
        <v>151</v>
      </c>
      <c r="G415" s="3" t="s">
        <v>42</v>
      </c>
      <c r="H415" s="3">
        <v>2</v>
      </c>
      <c r="I415" s="4">
        <v>20</v>
      </c>
      <c r="J415" s="3">
        <v>1.3</v>
      </c>
      <c r="K415" s="3" t="s">
        <v>170</v>
      </c>
      <c r="L415" s="3">
        <v>0.83</v>
      </c>
      <c r="M415" s="3" t="s">
        <v>74</v>
      </c>
      <c r="N415" s="3" t="s">
        <v>38</v>
      </c>
      <c r="O415" s="3">
        <v>1</v>
      </c>
      <c r="P415" s="3">
        <v>5</v>
      </c>
      <c r="Q415" s="3" t="str">
        <f t="shared" si="6"/>
        <v>Average</v>
      </c>
    </row>
    <row r="416" spans="1:17" x14ac:dyDescent="0.25">
      <c r="A416" s="3" t="s">
        <v>923</v>
      </c>
      <c r="B416" s="3" t="s">
        <v>924</v>
      </c>
      <c r="C416" s="3" t="s">
        <v>26</v>
      </c>
      <c r="D416" s="3">
        <v>44</v>
      </c>
      <c r="E416" s="3" t="s">
        <v>123</v>
      </c>
      <c r="F416" s="3" t="s">
        <v>124</v>
      </c>
      <c r="G416" s="3" t="s">
        <v>89</v>
      </c>
      <c r="H416" s="3">
        <v>22</v>
      </c>
      <c r="I416" s="4">
        <v>30</v>
      </c>
      <c r="J416" s="3">
        <v>4.0999999999999996</v>
      </c>
      <c r="K416" s="3" t="s">
        <v>85</v>
      </c>
      <c r="M416" s="3" t="s">
        <v>22</v>
      </c>
      <c r="N416" s="3" t="s">
        <v>67</v>
      </c>
      <c r="O416" s="3">
        <v>15</v>
      </c>
      <c r="P416" s="3">
        <v>5</v>
      </c>
      <c r="Q416" s="3" t="str">
        <f t="shared" si="6"/>
        <v>GOOD</v>
      </c>
    </row>
    <row r="417" spans="1:17" customFormat="1" hidden="1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s="1" t="s">
        <v>73</v>
      </c>
      <c r="J417">
        <v>2.4</v>
      </c>
      <c r="K417" t="s">
        <v>170</v>
      </c>
      <c r="L417">
        <v>0.68</v>
      </c>
      <c r="M417" t="s">
        <v>74</v>
      </c>
      <c r="N417" t="s">
        <v>38</v>
      </c>
      <c r="O417">
        <v>7</v>
      </c>
      <c r="P417">
        <v>11</v>
      </c>
      <c r="Q417" t="str">
        <f t="shared" si="6"/>
        <v>Average</v>
      </c>
    </row>
    <row r="418" spans="1:17" customFormat="1" hidden="1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s="1" t="s">
        <v>73</v>
      </c>
      <c r="J418">
        <v>0</v>
      </c>
      <c r="K418">
        <v>0</v>
      </c>
      <c r="L418">
        <v>0.74</v>
      </c>
      <c r="M418" t="s">
        <v>53</v>
      </c>
      <c r="N418" t="s">
        <v>31</v>
      </c>
      <c r="O418">
        <v>9</v>
      </c>
      <c r="P418">
        <v>9</v>
      </c>
      <c r="Q418" t="str">
        <f t="shared" si="6"/>
        <v>Average</v>
      </c>
    </row>
    <row r="419" spans="1:17" x14ac:dyDescent="0.25">
      <c r="A419" s="3" t="s">
        <v>928</v>
      </c>
      <c r="B419" s="3" t="s">
        <v>929</v>
      </c>
      <c r="C419" s="3" t="s">
        <v>34</v>
      </c>
      <c r="D419" s="3">
        <v>51</v>
      </c>
      <c r="E419" s="3" t="s">
        <v>150</v>
      </c>
      <c r="F419" s="3" t="s">
        <v>151</v>
      </c>
      <c r="G419" s="3" t="s">
        <v>42</v>
      </c>
      <c r="H419" s="3">
        <v>32</v>
      </c>
      <c r="I419" s="4">
        <v>100</v>
      </c>
      <c r="J419" s="3">
        <v>4.4000000000000004</v>
      </c>
      <c r="K419" s="3" t="b">
        <v>0</v>
      </c>
      <c r="L419" s="3">
        <v>91</v>
      </c>
      <c r="M419" s="3" t="s">
        <v>53</v>
      </c>
      <c r="N419" s="3" t="s">
        <v>38</v>
      </c>
      <c r="O419" s="3">
        <v>14</v>
      </c>
      <c r="P419" s="3">
        <v>15</v>
      </c>
      <c r="Q419" s="3" t="str">
        <f t="shared" si="6"/>
        <v>GOOD</v>
      </c>
    </row>
    <row r="420" spans="1:17" customFormat="1" hidden="1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s="1" t="s">
        <v>30</v>
      </c>
      <c r="J420">
        <v>2.2000000000000002</v>
      </c>
      <c r="K420">
        <v>1</v>
      </c>
      <c r="L420">
        <v>0.97</v>
      </c>
      <c r="M420" t="s">
        <v>74</v>
      </c>
      <c r="N420" t="s">
        <v>67</v>
      </c>
      <c r="O420">
        <v>10</v>
      </c>
      <c r="P420">
        <v>5</v>
      </c>
      <c r="Q420" t="str">
        <f t="shared" si="6"/>
        <v>Average</v>
      </c>
    </row>
    <row r="421" spans="1:17" x14ac:dyDescent="0.25">
      <c r="A421" s="3" t="s">
        <v>932</v>
      </c>
      <c r="B421" s="3" t="s">
        <v>933</v>
      </c>
      <c r="C421" s="3" t="s">
        <v>26</v>
      </c>
      <c r="D421" s="3">
        <v>37</v>
      </c>
      <c r="E421" s="3" t="s">
        <v>27</v>
      </c>
      <c r="F421" s="3" t="s">
        <v>28</v>
      </c>
      <c r="G421" s="3" t="s">
        <v>29</v>
      </c>
      <c r="H421" s="3">
        <v>10</v>
      </c>
      <c r="I421" s="4">
        <v>30</v>
      </c>
      <c r="J421" s="3">
        <v>0</v>
      </c>
      <c r="K421" s="3">
        <v>0</v>
      </c>
      <c r="L421" s="3">
        <v>0.96</v>
      </c>
      <c r="M421" s="3" t="s">
        <v>53</v>
      </c>
      <c r="N421" s="3" t="s">
        <v>31</v>
      </c>
      <c r="O421" s="3">
        <v>15</v>
      </c>
      <c r="P421" s="3">
        <v>12</v>
      </c>
      <c r="Q421" s="3" t="str">
        <f t="shared" si="6"/>
        <v>Average</v>
      </c>
    </row>
    <row r="422" spans="1:17" x14ac:dyDescent="0.25">
      <c r="A422" s="3" t="s">
        <v>934</v>
      </c>
      <c r="B422" s="3" t="s">
        <v>935</v>
      </c>
      <c r="C422" s="3" t="s">
        <v>34</v>
      </c>
      <c r="D422" s="3">
        <v>31</v>
      </c>
      <c r="E422" s="3" t="s">
        <v>164</v>
      </c>
      <c r="F422" s="3" t="s">
        <v>165</v>
      </c>
      <c r="G422" s="3" t="s">
        <v>100</v>
      </c>
      <c r="H422" s="3">
        <v>0</v>
      </c>
      <c r="I422" s="4">
        <v>50</v>
      </c>
      <c r="J422" s="3">
        <v>1.1000000000000001</v>
      </c>
      <c r="K422" s="3" t="s">
        <v>85</v>
      </c>
      <c r="L422" s="3">
        <v>0.73</v>
      </c>
      <c r="M422" s="3" t="s">
        <v>79</v>
      </c>
      <c r="N422" s="3" t="s">
        <v>38</v>
      </c>
      <c r="O422" s="3">
        <v>2</v>
      </c>
      <c r="P422" s="3">
        <v>1</v>
      </c>
      <c r="Q422" s="3" t="str">
        <f t="shared" si="6"/>
        <v>Average</v>
      </c>
    </row>
    <row r="423" spans="1:17" customFormat="1" hidden="1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I423" s="1"/>
      <c r="J423">
        <v>1.4</v>
      </c>
      <c r="K423" t="s">
        <v>78</v>
      </c>
      <c r="L423">
        <v>0.72</v>
      </c>
      <c r="M423" t="s">
        <v>22</v>
      </c>
      <c r="N423" t="s">
        <v>23</v>
      </c>
      <c r="O423">
        <v>19</v>
      </c>
      <c r="P423">
        <v>2</v>
      </c>
      <c r="Q423" t="str">
        <f t="shared" si="6"/>
        <v>Average</v>
      </c>
    </row>
    <row r="424" spans="1:17" customFormat="1" hidden="1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s="1" t="s">
        <v>240</v>
      </c>
      <c r="J424">
        <v>0</v>
      </c>
      <c r="K424" t="b">
        <v>1</v>
      </c>
      <c r="L424">
        <v>0.74</v>
      </c>
      <c r="M424" t="s">
        <v>79</v>
      </c>
      <c r="N424" t="s">
        <v>31</v>
      </c>
      <c r="O424">
        <v>19</v>
      </c>
      <c r="P424">
        <v>14</v>
      </c>
      <c r="Q424" t="str">
        <f t="shared" si="6"/>
        <v>Average</v>
      </c>
    </row>
    <row r="425" spans="1:17" x14ac:dyDescent="0.25">
      <c r="A425" s="3" t="s">
        <v>940</v>
      </c>
      <c r="B425" s="3" t="s">
        <v>941</v>
      </c>
      <c r="C425" s="3" t="s">
        <v>26</v>
      </c>
      <c r="D425" s="3">
        <v>48</v>
      </c>
      <c r="E425" s="3" t="s">
        <v>82</v>
      </c>
      <c r="F425" s="3" t="s">
        <v>83</v>
      </c>
      <c r="G425" s="3" t="s">
        <v>29</v>
      </c>
      <c r="H425" s="3">
        <v>5</v>
      </c>
      <c r="I425" s="4">
        <v>30</v>
      </c>
      <c r="J425" s="3">
        <v>1.5</v>
      </c>
      <c r="K425" s="3" t="s">
        <v>37</v>
      </c>
      <c r="M425" s="3" t="s">
        <v>22</v>
      </c>
      <c r="N425" s="3" t="s">
        <v>31</v>
      </c>
      <c r="O425" s="3">
        <v>4</v>
      </c>
      <c r="P425" s="3">
        <v>2</v>
      </c>
      <c r="Q425" s="3" t="str">
        <f t="shared" si="6"/>
        <v>Average</v>
      </c>
    </row>
    <row r="426" spans="1:17" x14ac:dyDescent="0.25">
      <c r="A426" s="3" t="s">
        <v>942</v>
      </c>
      <c r="B426" s="3" t="s">
        <v>943</v>
      </c>
      <c r="C426" s="3" t="s">
        <v>41</v>
      </c>
      <c r="D426" s="3">
        <v>24</v>
      </c>
      <c r="E426" s="3" t="s">
        <v>104</v>
      </c>
      <c r="F426" s="3" t="s">
        <v>105</v>
      </c>
      <c r="G426" s="3" t="s">
        <v>51</v>
      </c>
      <c r="H426" s="3">
        <v>3</v>
      </c>
      <c r="I426" s="4">
        <v>20</v>
      </c>
      <c r="J426" s="3">
        <v>0</v>
      </c>
      <c r="K426" s="3">
        <v>1</v>
      </c>
      <c r="M426" s="3" t="s">
        <v>53</v>
      </c>
      <c r="N426" s="3" t="s">
        <v>23</v>
      </c>
      <c r="O426" s="3">
        <v>2</v>
      </c>
      <c r="P426" s="3">
        <v>1</v>
      </c>
      <c r="Q426" s="3" t="str">
        <f t="shared" si="6"/>
        <v>Average</v>
      </c>
    </row>
    <row r="427" spans="1:17" x14ac:dyDescent="0.25">
      <c r="A427" s="3" t="s">
        <v>944</v>
      </c>
      <c r="B427" s="3" t="s">
        <v>945</v>
      </c>
      <c r="C427" s="3" t="s">
        <v>26</v>
      </c>
      <c r="D427" s="3">
        <v>35</v>
      </c>
      <c r="E427" s="3" t="s">
        <v>49</v>
      </c>
      <c r="F427" s="3" t="s">
        <v>50</v>
      </c>
      <c r="G427" s="3" t="s">
        <v>125</v>
      </c>
      <c r="H427" s="3">
        <v>10</v>
      </c>
      <c r="I427" s="4">
        <v>75</v>
      </c>
      <c r="J427" s="3">
        <v>0</v>
      </c>
      <c r="L427" s="3">
        <v>0.74</v>
      </c>
      <c r="M427" s="3" t="s">
        <v>79</v>
      </c>
      <c r="N427" s="3" t="s">
        <v>23</v>
      </c>
      <c r="O427" s="3">
        <v>8</v>
      </c>
      <c r="P427" s="3">
        <v>9</v>
      </c>
      <c r="Q427" s="3" t="str">
        <f t="shared" si="6"/>
        <v>Average</v>
      </c>
    </row>
    <row r="428" spans="1:17" x14ac:dyDescent="0.25">
      <c r="A428" s="3" t="s">
        <v>946</v>
      </c>
      <c r="B428" s="3" t="s">
        <v>947</v>
      </c>
      <c r="C428" s="3" t="s">
        <v>70</v>
      </c>
      <c r="D428" s="3">
        <v>35</v>
      </c>
      <c r="E428" s="3" t="s">
        <v>66</v>
      </c>
      <c r="F428" s="3" t="s">
        <v>28</v>
      </c>
      <c r="G428" s="3" t="s">
        <v>100</v>
      </c>
      <c r="I428" s="4">
        <v>100</v>
      </c>
      <c r="J428" s="3">
        <v>3.5</v>
      </c>
      <c r="K428" s="3" t="s">
        <v>85</v>
      </c>
      <c r="L428" s="3">
        <v>0.71</v>
      </c>
      <c r="M428" s="3" t="s">
        <v>53</v>
      </c>
      <c r="N428" s="3" t="s">
        <v>31</v>
      </c>
      <c r="O428" s="3">
        <v>2</v>
      </c>
      <c r="P428" s="3">
        <v>1</v>
      </c>
      <c r="Q428" s="3" t="str">
        <f t="shared" si="6"/>
        <v>GOOD</v>
      </c>
    </row>
    <row r="429" spans="1:17" customFormat="1" hidden="1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I429" s="1"/>
      <c r="J429">
        <v>4.8</v>
      </c>
      <c r="K429" t="s">
        <v>37</v>
      </c>
      <c r="L429">
        <v>0.83</v>
      </c>
      <c r="M429" t="s">
        <v>22</v>
      </c>
      <c r="N429" t="s">
        <v>23</v>
      </c>
      <c r="O429">
        <v>14</v>
      </c>
      <c r="P429">
        <v>2</v>
      </c>
      <c r="Q429" t="str">
        <f t="shared" si="6"/>
        <v>GOOD</v>
      </c>
    </row>
    <row r="430" spans="1:17" customFormat="1" hidden="1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s="1" t="s">
        <v>181</v>
      </c>
      <c r="L430">
        <v>0.63</v>
      </c>
      <c r="M430" t="s">
        <v>74</v>
      </c>
      <c r="N430" t="s">
        <v>67</v>
      </c>
      <c r="O430">
        <v>4</v>
      </c>
      <c r="P430">
        <v>2</v>
      </c>
      <c r="Q430" t="str">
        <f t="shared" si="6"/>
        <v>Average</v>
      </c>
    </row>
    <row r="431" spans="1:17" customFormat="1" hidden="1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I431" s="1"/>
      <c r="J431">
        <v>4.8</v>
      </c>
      <c r="L431">
        <v>0.84</v>
      </c>
      <c r="M431" t="s">
        <v>74</v>
      </c>
      <c r="N431" t="s">
        <v>67</v>
      </c>
      <c r="O431">
        <v>4</v>
      </c>
      <c r="P431">
        <v>1</v>
      </c>
      <c r="Q431" t="str">
        <f t="shared" si="6"/>
        <v>GOOD</v>
      </c>
    </row>
    <row r="432" spans="1:17" customFormat="1" hidden="1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I432" s="1"/>
      <c r="J432">
        <v>1.4</v>
      </c>
      <c r="K432">
        <v>0</v>
      </c>
      <c r="L432">
        <v>0.93</v>
      </c>
      <c r="M432" t="s">
        <v>79</v>
      </c>
      <c r="N432" t="s">
        <v>67</v>
      </c>
      <c r="O432">
        <v>3</v>
      </c>
      <c r="P432">
        <v>1</v>
      </c>
      <c r="Q432" t="str">
        <f t="shared" si="6"/>
        <v>Average</v>
      </c>
    </row>
    <row r="433" spans="1:17" customFormat="1" hidden="1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s="1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  <c r="Q433" t="str">
        <f t="shared" si="6"/>
        <v>Average</v>
      </c>
    </row>
    <row r="434" spans="1:17" customFormat="1" hidden="1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s="1" t="s">
        <v>73</v>
      </c>
      <c r="J434">
        <v>3.3</v>
      </c>
      <c r="K434" t="s">
        <v>85</v>
      </c>
      <c r="L434">
        <v>0.93</v>
      </c>
      <c r="M434" t="s">
        <v>53</v>
      </c>
      <c r="N434" t="s">
        <v>23</v>
      </c>
      <c r="O434">
        <v>10</v>
      </c>
      <c r="P434">
        <v>10</v>
      </c>
      <c r="Q434" t="str">
        <f t="shared" si="6"/>
        <v>Average</v>
      </c>
    </row>
    <row r="435" spans="1:17" customFormat="1" hidden="1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s="1" t="s">
        <v>120</v>
      </c>
      <c r="J435">
        <v>4.5999999999999996</v>
      </c>
      <c r="L435">
        <v>0.97</v>
      </c>
      <c r="M435" t="s">
        <v>79</v>
      </c>
      <c r="N435" t="s">
        <v>23</v>
      </c>
      <c r="O435">
        <v>1</v>
      </c>
      <c r="P435">
        <v>1</v>
      </c>
      <c r="Q435" t="str">
        <f t="shared" si="6"/>
        <v>GOOD</v>
      </c>
    </row>
    <row r="436" spans="1:17" customFormat="1" hidden="1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s="1" t="s">
        <v>60</v>
      </c>
      <c r="J436">
        <v>2.8</v>
      </c>
      <c r="K436">
        <v>1</v>
      </c>
      <c r="L436">
        <v>0.92</v>
      </c>
      <c r="M436" t="s">
        <v>74</v>
      </c>
      <c r="N436" t="s">
        <v>38</v>
      </c>
      <c r="O436">
        <v>7</v>
      </c>
      <c r="P436">
        <v>4</v>
      </c>
      <c r="Q436" t="str">
        <f t="shared" si="6"/>
        <v>Average</v>
      </c>
    </row>
    <row r="437" spans="1:17" x14ac:dyDescent="0.25">
      <c r="A437" s="3" t="s">
        <v>964</v>
      </c>
      <c r="B437" s="3" t="s">
        <v>965</v>
      </c>
      <c r="C437" s="3" t="s">
        <v>70</v>
      </c>
      <c r="D437" s="3">
        <v>34</v>
      </c>
      <c r="E437" s="3" t="s">
        <v>27</v>
      </c>
      <c r="F437" s="3" t="s">
        <v>28</v>
      </c>
      <c r="G437" s="3" t="s">
        <v>100</v>
      </c>
      <c r="H437" s="3">
        <v>6</v>
      </c>
      <c r="I437" s="4">
        <v>50</v>
      </c>
      <c r="J437" s="3">
        <v>5</v>
      </c>
      <c r="K437" s="3" t="s">
        <v>85</v>
      </c>
      <c r="L437" s="3">
        <v>0.92</v>
      </c>
      <c r="M437" s="3" t="s">
        <v>22</v>
      </c>
      <c r="N437" s="3" t="s">
        <v>38</v>
      </c>
      <c r="O437" s="3">
        <v>8</v>
      </c>
      <c r="P437" s="3">
        <v>3</v>
      </c>
      <c r="Q437" s="3" t="str">
        <f t="shared" si="6"/>
        <v>GOOD</v>
      </c>
    </row>
    <row r="438" spans="1:17" x14ac:dyDescent="0.25">
      <c r="A438" s="3" t="s">
        <v>966</v>
      </c>
      <c r="B438" s="3" t="s">
        <v>967</v>
      </c>
      <c r="C438" s="3" t="s">
        <v>34</v>
      </c>
      <c r="D438" s="3">
        <v>24</v>
      </c>
      <c r="E438" s="3" t="s">
        <v>104</v>
      </c>
      <c r="F438" s="3" t="s">
        <v>105</v>
      </c>
      <c r="G438" s="3" t="s">
        <v>89</v>
      </c>
      <c r="H438" s="3">
        <v>2</v>
      </c>
      <c r="I438" s="4">
        <v>75</v>
      </c>
      <c r="J438" s="3">
        <v>4.7</v>
      </c>
      <c r="K438" s="3" t="s">
        <v>170</v>
      </c>
      <c r="L438" s="3">
        <v>0.68</v>
      </c>
      <c r="M438" s="3" t="s">
        <v>79</v>
      </c>
      <c r="N438" s="3" t="s">
        <v>23</v>
      </c>
      <c r="O438" s="3">
        <v>1</v>
      </c>
      <c r="P438" s="3">
        <v>2</v>
      </c>
      <c r="Q438" s="3" t="str">
        <f t="shared" si="6"/>
        <v>GOOD</v>
      </c>
    </row>
    <row r="439" spans="1:17" x14ac:dyDescent="0.25">
      <c r="A439" s="3" t="s">
        <v>968</v>
      </c>
      <c r="B439" s="3" t="s">
        <v>969</v>
      </c>
      <c r="C439" s="3" t="s">
        <v>34</v>
      </c>
      <c r="D439" s="3">
        <v>57</v>
      </c>
      <c r="E439" s="3" t="s">
        <v>66</v>
      </c>
      <c r="F439" s="3" t="s">
        <v>28</v>
      </c>
      <c r="G439" s="3" t="s">
        <v>84</v>
      </c>
      <c r="H439" s="3">
        <v>13</v>
      </c>
      <c r="I439" s="4">
        <v>100</v>
      </c>
      <c r="J439" s="3">
        <v>3.5</v>
      </c>
      <c r="K439" s="3" t="s">
        <v>170</v>
      </c>
      <c r="L439" s="3">
        <v>0.95</v>
      </c>
      <c r="M439" s="3" t="s">
        <v>22</v>
      </c>
      <c r="N439" s="3" t="s">
        <v>23</v>
      </c>
      <c r="O439" s="3">
        <v>13</v>
      </c>
      <c r="P439" s="3">
        <v>3</v>
      </c>
      <c r="Q439" s="3" t="str">
        <f t="shared" si="6"/>
        <v>GOOD</v>
      </c>
    </row>
    <row r="440" spans="1:17" customFormat="1" hidden="1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s="1" t="s">
        <v>240</v>
      </c>
      <c r="J440">
        <v>4.3</v>
      </c>
      <c r="K440" t="b">
        <v>0</v>
      </c>
      <c r="L440">
        <v>0.76</v>
      </c>
      <c r="M440" t="s">
        <v>74</v>
      </c>
      <c r="N440" t="s">
        <v>23</v>
      </c>
      <c r="O440">
        <v>7</v>
      </c>
      <c r="P440">
        <v>12</v>
      </c>
      <c r="Q440" t="str">
        <f t="shared" si="6"/>
        <v>GOOD</v>
      </c>
    </row>
    <row r="441" spans="1:17" customFormat="1" hidden="1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s="1" t="s">
        <v>30</v>
      </c>
      <c r="J441">
        <v>3.3</v>
      </c>
      <c r="K441" t="s">
        <v>78</v>
      </c>
      <c r="L441">
        <v>0.66</v>
      </c>
      <c r="M441" t="s">
        <v>53</v>
      </c>
      <c r="N441" t="s">
        <v>31</v>
      </c>
      <c r="O441">
        <v>14</v>
      </c>
      <c r="P441">
        <v>9</v>
      </c>
      <c r="Q441" t="str">
        <f t="shared" si="6"/>
        <v>Average</v>
      </c>
    </row>
    <row r="442" spans="1:17" x14ac:dyDescent="0.25">
      <c r="A442" s="3" t="s">
        <v>974</v>
      </c>
      <c r="B442" s="3" t="s">
        <v>975</v>
      </c>
      <c r="C442" s="3" t="s">
        <v>108</v>
      </c>
      <c r="D442" s="3">
        <v>34</v>
      </c>
      <c r="E442" s="3" t="s">
        <v>82</v>
      </c>
      <c r="F442" s="3" t="s">
        <v>83</v>
      </c>
      <c r="G442" s="3" t="s">
        <v>29</v>
      </c>
      <c r="H442" s="3">
        <v>15</v>
      </c>
      <c r="I442" s="4">
        <v>75</v>
      </c>
      <c r="K442" s="3">
        <v>0</v>
      </c>
      <c r="L442" s="3">
        <v>0.73</v>
      </c>
      <c r="M442" s="3" t="s">
        <v>74</v>
      </c>
      <c r="N442" s="3" t="s">
        <v>23</v>
      </c>
      <c r="O442" s="3">
        <v>14</v>
      </c>
      <c r="P442" s="3">
        <v>8</v>
      </c>
      <c r="Q442" s="3" t="str">
        <f t="shared" si="6"/>
        <v>Average</v>
      </c>
    </row>
    <row r="443" spans="1:17" customFormat="1" hidden="1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s="1" t="s">
        <v>325</v>
      </c>
      <c r="J443">
        <v>2.8</v>
      </c>
      <c r="L443">
        <v>0.99</v>
      </c>
      <c r="M443" t="s">
        <v>79</v>
      </c>
      <c r="N443" t="s">
        <v>38</v>
      </c>
      <c r="O443">
        <v>4</v>
      </c>
      <c r="P443">
        <v>1</v>
      </c>
      <c r="Q443" t="str">
        <f t="shared" si="6"/>
        <v>Average</v>
      </c>
    </row>
    <row r="444" spans="1:17" customFormat="1" hidden="1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I444" s="1"/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  <c r="Q444" t="str">
        <f t="shared" si="6"/>
        <v>Average</v>
      </c>
    </row>
    <row r="445" spans="1:17" customFormat="1" hidden="1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s="1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  <c r="Q445" t="str">
        <f t="shared" si="6"/>
        <v>Average</v>
      </c>
    </row>
    <row r="446" spans="1:17" customFormat="1" hidden="1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s="1" t="s">
        <v>132</v>
      </c>
      <c r="K446" t="s">
        <v>85</v>
      </c>
      <c r="L446">
        <v>0.92</v>
      </c>
      <c r="M446" t="s">
        <v>79</v>
      </c>
      <c r="N446" t="s">
        <v>38</v>
      </c>
      <c r="O446">
        <v>12</v>
      </c>
      <c r="P446">
        <v>4</v>
      </c>
      <c r="Q446" t="str">
        <f t="shared" si="6"/>
        <v>Average</v>
      </c>
    </row>
    <row r="447" spans="1:17" customFormat="1" hidden="1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s="1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  <c r="Q447" t="str">
        <f t="shared" si="6"/>
        <v>GOOD</v>
      </c>
    </row>
    <row r="448" spans="1:17" customFormat="1" hidden="1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s="1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  <c r="Q448" t="str">
        <f t="shared" si="6"/>
        <v>Average</v>
      </c>
    </row>
    <row r="449" spans="1:17" x14ac:dyDescent="0.25">
      <c r="A449" s="3" t="s">
        <v>988</v>
      </c>
      <c r="B449" s="3" t="s">
        <v>989</v>
      </c>
      <c r="C449" s="3" t="s">
        <v>26</v>
      </c>
      <c r="D449" s="3">
        <v>22</v>
      </c>
      <c r="E449" s="3" t="s">
        <v>27</v>
      </c>
      <c r="F449" s="3" t="s">
        <v>28</v>
      </c>
      <c r="G449" s="3" t="s">
        <v>29</v>
      </c>
      <c r="H449" s="3">
        <v>4</v>
      </c>
      <c r="I449" s="4">
        <v>20</v>
      </c>
      <c r="K449" s="3">
        <v>0</v>
      </c>
      <c r="L449" s="3">
        <v>0.73</v>
      </c>
      <c r="M449" s="3" t="s">
        <v>74</v>
      </c>
      <c r="N449" s="3" t="s">
        <v>23</v>
      </c>
      <c r="O449" s="3">
        <v>1</v>
      </c>
      <c r="P449" s="3">
        <v>1</v>
      </c>
      <c r="Q449" s="3" t="str">
        <f t="shared" si="6"/>
        <v>Average</v>
      </c>
    </row>
    <row r="450" spans="1:17" x14ac:dyDescent="0.25">
      <c r="A450" s="3" t="s">
        <v>990</v>
      </c>
      <c r="B450" s="3" t="s">
        <v>991</v>
      </c>
      <c r="C450" s="3" t="s">
        <v>41</v>
      </c>
      <c r="D450" s="3">
        <v>55</v>
      </c>
      <c r="E450" s="3" t="s">
        <v>150</v>
      </c>
      <c r="F450" s="3" t="s">
        <v>151</v>
      </c>
      <c r="G450" s="3" t="s">
        <v>51</v>
      </c>
      <c r="H450" s="3">
        <v>3</v>
      </c>
      <c r="I450" s="4">
        <v>100</v>
      </c>
      <c r="K450" s="3">
        <v>1</v>
      </c>
      <c r="L450" s="3">
        <v>0.73</v>
      </c>
      <c r="M450" s="3" t="s">
        <v>53</v>
      </c>
      <c r="N450" s="3" t="s">
        <v>23</v>
      </c>
      <c r="O450" s="3">
        <v>1</v>
      </c>
      <c r="P450" s="3">
        <v>2</v>
      </c>
      <c r="Q450" s="3" t="str">
        <f t="shared" ref="Q450:Q513" si="7">IF(J450&lt;3.5,"Average","GOOD")</f>
        <v>Average</v>
      </c>
    </row>
    <row r="451" spans="1:17" x14ac:dyDescent="0.25">
      <c r="A451" s="3" t="s">
        <v>992</v>
      </c>
      <c r="B451" s="3" t="s">
        <v>993</v>
      </c>
      <c r="C451" s="3" t="s">
        <v>46</v>
      </c>
      <c r="D451" s="3">
        <v>54</v>
      </c>
      <c r="E451" s="3" t="s">
        <v>82</v>
      </c>
      <c r="F451" s="3" t="s">
        <v>83</v>
      </c>
      <c r="G451" s="3" t="s">
        <v>125</v>
      </c>
      <c r="I451" s="4">
        <v>30</v>
      </c>
      <c r="J451" s="3">
        <v>2.9</v>
      </c>
      <c r="K451" s="3" t="b">
        <v>1</v>
      </c>
      <c r="L451" s="3">
        <v>0.78</v>
      </c>
      <c r="M451" s="3" t="s">
        <v>74</v>
      </c>
      <c r="N451" s="3" t="s">
        <v>31</v>
      </c>
      <c r="O451" s="3">
        <v>3</v>
      </c>
      <c r="P451" s="3">
        <v>3</v>
      </c>
      <c r="Q451" s="3" t="str">
        <f t="shared" si="7"/>
        <v>Average</v>
      </c>
    </row>
    <row r="452" spans="1:17" customFormat="1" hidden="1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s="1" t="s">
        <v>52</v>
      </c>
      <c r="J452">
        <v>0</v>
      </c>
      <c r="K452" t="b">
        <v>1</v>
      </c>
      <c r="L452">
        <v>0.63</v>
      </c>
      <c r="M452" t="s">
        <v>53</v>
      </c>
      <c r="N452" t="s">
        <v>38</v>
      </c>
      <c r="O452">
        <v>9</v>
      </c>
      <c r="P452">
        <v>14</v>
      </c>
      <c r="Q452" t="str">
        <f t="shared" si="7"/>
        <v>Average</v>
      </c>
    </row>
    <row r="453" spans="1:17" x14ac:dyDescent="0.25">
      <c r="A453" s="3" t="s">
        <v>996</v>
      </c>
      <c r="B453" s="3" t="s">
        <v>997</v>
      </c>
      <c r="C453" s="3" t="s">
        <v>46</v>
      </c>
      <c r="D453" s="3">
        <v>36</v>
      </c>
      <c r="E453" s="3" t="s">
        <v>49</v>
      </c>
      <c r="F453" s="3" t="s">
        <v>50</v>
      </c>
      <c r="G453" s="3" t="s">
        <v>51</v>
      </c>
      <c r="H453" s="3">
        <v>17</v>
      </c>
      <c r="I453" s="4">
        <v>50</v>
      </c>
      <c r="J453" s="3">
        <v>1.3</v>
      </c>
      <c r="L453" s="3">
        <v>0.64</v>
      </c>
      <c r="M453" s="3" t="s">
        <v>74</v>
      </c>
      <c r="N453" s="3" t="s">
        <v>38</v>
      </c>
      <c r="O453" s="3">
        <v>18</v>
      </c>
      <c r="P453" s="3">
        <v>7</v>
      </c>
      <c r="Q453" s="3" t="str">
        <f t="shared" si="7"/>
        <v>Average</v>
      </c>
    </row>
    <row r="454" spans="1:17" x14ac:dyDescent="0.25">
      <c r="A454" s="3" t="s">
        <v>998</v>
      </c>
      <c r="B454" s="3" t="s">
        <v>999</v>
      </c>
      <c r="C454" s="3" t="s">
        <v>18</v>
      </c>
      <c r="D454" s="3">
        <v>25</v>
      </c>
      <c r="E454" s="3" t="s">
        <v>82</v>
      </c>
      <c r="F454" s="3" t="s">
        <v>83</v>
      </c>
      <c r="G454" s="3" t="s">
        <v>42</v>
      </c>
      <c r="H454" s="3">
        <v>1</v>
      </c>
      <c r="I454" s="4">
        <v>75</v>
      </c>
      <c r="J454" s="3">
        <v>0</v>
      </c>
      <c r="K454" s="3">
        <v>1</v>
      </c>
      <c r="M454" s="3" t="s">
        <v>22</v>
      </c>
      <c r="N454" s="3" t="s">
        <v>67</v>
      </c>
      <c r="O454" s="3">
        <v>2</v>
      </c>
      <c r="P454" s="3">
        <v>3</v>
      </c>
      <c r="Q454" s="3" t="str">
        <f t="shared" si="7"/>
        <v>Average</v>
      </c>
    </row>
    <row r="455" spans="1:17" x14ac:dyDescent="0.25">
      <c r="A455" s="3" t="s">
        <v>1000</v>
      </c>
      <c r="B455" s="3" t="s">
        <v>1001</v>
      </c>
      <c r="C455" s="3" t="s">
        <v>108</v>
      </c>
      <c r="D455" s="3">
        <v>46</v>
      </c>
      <c r="E455" s="3" t="s">
        <v>57</v>
      </c>
      <c r="F455" s="3" t="s">
        <v>58</v>
      </c>
      <c r="G455" s="3" t="s">
        <v>51</v>
      </c>
      <c r="H455" s="3">
        <v>16</v>
      </c>
      <c r="I455" s="4">
        <v>20</v>
      </c>
      <c r="J455" s="3">
        <v>4.8</v>
      </c>
      <c r="K455" s="3">
        <v>1</v>
      </c>
      <c r="L455" s="3">
        <v>0.86</v>
      </c>
      <c r="M455" s="3" t="s">
        <v>22</v>
      </c>
      <c r="N455" s="3" t="s">
        <v>23</v>
      </c>
      <c r="O455" s="3">
        <v>12</v>
      </c>
      <c r="P455" s="3">
        <v>8</v>
      </c>
      <c r="Q455" s="3" t="str">
        <f t="shared" si="7"/>
        <v>GOOD</v>
      </c>
    </row>
    <row r="456" spans="1:17" customFormat="1" hidden="1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s="1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  <c r="Q456" t="str">
        <f t="shared" si="7"/>
        <v>Average</v>
      </c>
    </row>
    <row r="457" spans="1:17" customFormat="1" hidden="1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s="1" t="s">
        <v>240</v>
      </c>
      <c r="J457">
        <v>4.7</v>
      </c>
      <c r="K457" t="s">
        <v>37</v>
      </c>
      <c r="L457">
        <v>0.96</v>
      </c>
      <c r="M457" t="s">
        <v>74</v>
      </c>
      <c r="N457" t="s">
        <v>67</v>
      </c>
      <c r="O457">
        <v>2</v>
      </c>
      <c r="P457">
        <v>1</v>
      </c>
      <c r="Q457" t="str">
        <f t="shared" si="7"/>
        <v>GOOD</v>
      </c>
    </row>
    <row r="458" spans="1:17" customFormat="1" hidden="1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s="1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  <c r="Q458" t="str">
        <f t="shared" si="7"/>
        <v>Average</v>
      </c>
    </row>
    <row r="459" spans="1:17" customFormat="1" hidden="1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s="1" t="s">
        <v>73</v>
      </c>
      <c r="J459">
        <v>2.2000000000000002</v>
      </c>
      <c r="K459">
        <v>0</v>
      </c>
      <c r="L459">
        <v>0.77</v>
      </c>
      <c r="M459" t="s">
        <v>53</v>
      </c>
      <c r="N459" t="s">
        <v>31</v>
      </c>
      <c r="O459">
        <v>4</v>
      </c>
      <c r="P459">
        <v>1</v>
      </c>
      <c r="Q459" t="str">
        <f t="shared" si="7"/>
        <v>Average</v>
      </c>
    </row>
    <row r="460" spans="1:17" x14ac:dyDescent="0.25">
      <c r="A460" s="3" t="s">
        <v>1010</v>
      </c>
      <c r="B460" s="3" t="s">
        <v>1011</v>
      </c>
      <c r="C460" s="3" t="s">
        <v>108</v>
      </c>
      <c r="D460" s="3">
        <v>40</v>
      </c>
      <c r="E460" s="3" t="s">
        <v>139</v>
      </c>
      <c r="F460" s="3" t="s">
        <v>28</v>
      </c>
      <c r="G460" s="3" t="s">
        <v>125</v>
      </c>
      <c r="H460" s="3">
        <v>1</v>
      </c>
      <c r="I460" s="4">
        <v>100</v>
      </c>
      <c r="J460" s="3">
        <v>2.1</v>
      </c>
      <c r="K460" s="3">
        <v>1</v>
      </c>
      <c r="M460" s="3" t="s">
        <v>79</v>
      </c>
      <c r="N460" s="3" t="s">
        <v>31</v>
      </c>
      <c r="O460" s="3">
        <v>4</v>
      </c>
      <c r="P460" s="3">
        <v>1</v>
      </c>
      <c r="Q460" s="3" t="str">
        <f t="shared" si="7"/>
        <v>Average</v>
      </c>
    </row>
    <row r="461" spans="1:17" x14ac:dyDescent="0.25">
      <c r="A461" s="3" t="s">
        <v>1012</v>
      </c>
      <c r="B461" s="3" t="s">
        <v>1013</v>
      </c>
      <c r="C461" s="3" t="s">
        <v>46</v>
      </c>
      <c r="D461" s="3">
        <v>27</v>
      </c>
      <c r="E461" s="3" t="s">
        <v>150</v>
      </c>
      <c r="F461" s="3" t="s">
        <v>151</v>
      </c>
      <c r="G461" s="3" t="s">
        <v>59</v>
      </c>
      <c r="H461" s="3">
        <v>1</v>
      </c>
      <c r="I461" s="4">
        <v>30</v>
      </c>
      <c r="J461" s="3">
        <v>1.7</v>
      </c>
      <c r="K461" s="3" t="b">
        <v>0</v>
      </c>
      <c r="L461" s="3">
        <v>0.65</v>
      </c>
      <c r="M461" s="3" t="s">
        <v>74</v>
      </c>
      <c r="N461" s="3" t="s">
        <v>38</v>
      </c>
      <c r="O461" s="3">
        <v>5</v>
      </c>
      <c r="P461" s="3">
        <v>4</v>
      </c>
      <c r="Q461" s="3" t="str">
        <f t="shared" si="7"/>
        <v>Average</v>
      </c>
    </row>
    <row r="462" spans="1:17" customFormat="1" hidden="1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I462" s="1"/>
      <c r="J462">
        <v>5</v>
      </c>
      <c r="K462">
        <v>1</v>
      </c>
      <c r="L462">
        <v>0.62</v>
      </c>
      <c r="M462" t="s">
        <v>79</v>
      </c>
      <c r="N462" t="s">
        <v>31</v>
      </c>
      <c r="O462">
        <v>14</v>
      </c>
      <c r="P462">
        <v>9</v>
      </c>
      <c r="Q462" t="str">
        <f t="shared" si="7"/>
        <v>GOOD</v>
      </c>
    </row>
    <row r="463" spans="1:17" x14ac:dyDescent="0.25">
      <c r="A463" s="3" t="s">
        <v>1016</v>
      </c>
      <c r="B463" s="3" t="s">
        <v>1017</v>
      </c>
      <c r="C463" s="3" t="s">
        <v>34</v>
      </c>
      <c r="D463" s="3">
        <v>20</v>
      </c>
      <c r="E463" s="3" t="s">
        <v>71</v>
      </c>
      <c r="F463" s="3" t="s">
        <v>72</v>
      </c>
      <c r="G463" s="3" t="s">
        <v>59</v>
      </c>
      <c r="H463" s="3">
        <v>1</v>
      </c>
      <c r="I463" s="4">
        <v>50</v>
      </c>
      <c r="J463" s="3">
        <v>2.9</v>
      </c>
      <c r="K463" s="3" t="s">
        <v>170</v>
      </c>
      <c r="L463" s="3">
        <v>0.81</v>
      </c>
      <c r="M463" s="3" t="s">
        <v>22</v>
      </c>
      <c r="N463" s="3" t="s">
        <v>67</v>
      </c>
      <c r="O463" s="3">
        <v>1</v>
      </c>
      <c r="P463" s="3">
        <v>1</v>
      </c>
      <c r="Q463" s="3" t="str">
        <f t="shared" si="7"/>
        <v>Average</v>
      </c>
    </row>
    <row r="464" spans="1:17" customFormat="1" hidden="1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s="1" t="s">
        <v>73</v>
      </c>
      <c r="J464">
        <v>4.0999999999999996</v>
      </c>
      <c r="K464" t="s">
        <v>85</v>
      </c>
      <c r="L464">
        <v>0.62</v>
      </c>
      <c r="M464" t="s">
        <v>74</v>
      </c>
      <c r="N464" t="s">
        <v>23</v>
      </c>
      <c r="O464">
        <v>7</v>
      </c>
      <c r="P464">
        <v>4</v>
      </c>
      <c r="Q464" t="str">
        <f t="shared" si="7"/>
        <v>GOOD</v>
      </c>
    </row>
    <row r="465" spans="1:17" x14ac:dyDescent="0.25">
      <c r="A465" s="3" t="s">
        <v>1020</v>
      </c>
      <c r="B465" s="3" t="s">
        <v>1021</v>
      </c>
      <c r="C465" s="3" t="s">
        <v>34</v>
      </c>
      <c r="D465" s="3">
        <v>26</v>
      </c>
      <c r="E465" s="3" t="s">
        <v>190</v>
      </c>
      <c r="F465" s="3" t="s">
        <v>83</v>
      </c>
      <c r="G465" s="3" t="s">
        <v>42</v>
      </c>
      <c r="H465" s="3">
        <v>8</v>
      </c>
      <c r="I465" s="4">
        <v>40</v>
      </c>
      <c r="J465" s="3">
        <v>4.9000000000000004</v>
      </c>
      <c r="K465" s="3" t="s">
        <v>37</v>
      </c>
      <c r="L465" s="3">
        <v>0.87</v>
      </c>
      <c r="M465" s="3" t="s">
        <v>74</v>
      </c>
      <c r="N465" s="3" t="s">
        <v>38</v>
      </c>
      <c r="O465" s="3">
        <v>9</v>
      </c>
      <c r="P465" s="3">
        <v>4</v>
      </c>
      <c r="Q465" s="3" t="str">
        <f t="shared" si="7"/>
        <v>GOOD</v>
      </c>
    </row>
    <row r="466" spans="1:17" customFormat="1" hidden="1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s="1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  <c r="Q466" t="str">
        <f t="shared" si="7"/>
        <v>Average</v>
      </c>
    </row>
    <row r="467" spans="1:17" customFormat="1" hidden="1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s="1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  <c r="Q467" t="str">
        <f t="shared" si="7"/>
        <v>Average</v>
      </c>
    </row>
    <row r="468" spans="1:17" x14ac:dyDescent="0.25">
      <c r="A468" s="3" t="s">
        <v>1026</v>
      </c>
      <c r="B468" s="3" t="s">
        <v>1027</v>
      </c>
      <c r="C468" s="3" t="s">
        <v>46</v>
      </c>
      <c r="D468" s="3">
        <v>39</v>
      </c>
      <c r="E468" s="3" t="s">
        <v>186</v>
      </c>
      <c r="F468" s="3" t="s">
        <v>187</v>
      </c>
      <c r="G468" s="3" t="s">
        <v>21</v>
      </c>
      <c r="H468" s="3">
        <v>11</v>
      </c>
      <c r="I468" s="4">
        <v>100</v>
      </c>
      <c r="J468" s="3">
        <v>2.8</v>
      </c>
      <c r="L468" s="3">
        <v>70</v>
      </c>
      <c r="M468" s="3" t="s">
        <v>79</v>
      </c>
      <c r="N468" s="3" t="s">
        <v>23</v>
      </c>
      <c r="O468" s="3">
        <v>9</v>
      </c>
      <c r="P468" s="3">
        <v>10</v>
      </c>
      <c r="Q468" s="3" t="str">
        <f t="shared" si="7"/>
        <v>Average</v>
      </c>
    </row>
    <row r="469" spans="1:17" x14ac:dyDescent="0.25">
      <c r="A469" s="3" t="s">
        <v>1028</v>
      </c>
      <c r="B469" s="3" t="s">
        <v>1029</v>
      </c>
      <c r="C469" s="3" t="s">
        <v>41</v>
      </c>
      <c r="D469" s="3">
        <v>41</v>
      </c>
      <c r="E469" s="3" t="s">
        <v>186</v>
      </c>
      <c r="F469" s="3" t="s">
        <v>187</v>
      </c>
      <c r="G469" s="3" t="s">
        <v>125</v>
      </c>
      <c r="H469" s="3">
        <v>19</v>
      </c>
      <c r="I469" s="4">
        <v>100</v>
      </c>
      <c r="J469" s="3">
        <v>3.8</v>
      </c>
      <c r="K469" s="3" t="s">
        <v>78</v>
      </c>
      <c r="L469" s="3">
        <v>0.71</v>
      </c>
      <c r="M469" s="3" t="s">
        <v>74</v>
      </c>
      <c r="N469" s="3" t="s">
        <v>31</v>
      </c>
      <c r="O469" s="3">
        <v>16</v>
      </c>
      <c r="P469" s="3">
        <v>5</v>
      </c>
      <c r="Q469" s="3" t="str">
        <f t="shared" si="7"/>
        <v>GOOD</v>
      </c>
    </row>
    <row r="470" spans="1:17" customFormat="1" hidden="1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s="1" t="s">
        <v>120</v>
      </c>
      <c r="J470">
        <v>4.3</v>
      </c>
      <c r="K470">
        <v>1</v>
      </c>
      <c r="L470">
        <v>0.83</v>
      </c>
      <c r="M470" t="s">
        <v>53</v>
      </c>
      <c r="N470" t="s">
        <v>31</v>
      </c>
      <c r="O470">
        <v>11</v>
      </c>
      <c r="P470">
        <v>3</v>
      </c>
      <c r="Q470" t="str">
        <f t="shared" si="7"/>
        <v>GOOD</v>
      </c>
    </row>
    <row r="471" spans="1:17" x14ac:dyDescent="0.25">
      <c r="A471" s="3" t="s">
        <v>1032</v>
      </c>
      <c r="B471" s="3" t="s">
        <v>1033</v>
      </c>
      <c r="C471" s="3" t="s">
        <v>88</v>
      </c>
      <c r="D471" s="3">
        <v>45</v>
      </c>
      <c r="E471" s="3" t="s">
        <v>27</v>
      </c>
      <c r="F471" s="3" t="s">
        <v>28</v>
      </c>
      <c r="G471" s="3" t="s">
        <v>21</v>
      </c>
      <c r="H471" s="3">
        <v>8</v>
      </c>
      <c r="I471" s="4">
        <v>40</v>
      </c>
      <c r="J471" s="3">
        <v>0</v>
      </c>
      <c r="K471" s="3">
        <v>0</v>
      </c>
      <c r="L471" s="3">
        <v>78</v>
      </c>
      <c r="M471" s="3" t="s">
        <v>79</v>
      </c>
      <c r="N471" s="3" t="s">
        <v>67</v>
      </c>
      <c r="O471" s="3">
        <v>7</v>
      </c>
      <c r="P471" s="3">
        <v>9</v>
      </c>
      <c r="Q471" s="3" t="str">
        <f t="shared" si="7"/>
        <v>Average</v>
      </c>
    </row>
    <row r="472" spans="1:17" x14ac:dyDescent="0.25">
      <c r="A472" s="3" t="s">
        <v>1034</v>
      </c>
      <c r="B472" s="3" t="s">
        <v>1035</v>
      </c>
      <c r="C472" s="3" t="s">
        <v>70</v>
      </c>
      <c r="D472" s="3">
        <v>22</v>
      </c>
      <c r="E472" s="3" t="s">
        <v>57</v>
      </c>
      <c r="F472" s="3" t="s">
        <v>58</v>
      </c>
      <c r="G472" s="3" t="s">
        <v>89</v>
      </c>
      <c r="H472" s="3">
        <v>0</v>
      </c>
      <c r="I472" s="4">
        <v>40</v>
      </c>
      <c r="J472" s="3">
        <v>1.3</v>
      </c>
      <c r="K472" s="3">
        <v>1</v>
      </c>
      <c r="L472" s="3">
        <v>0.78</v>
      </c>
      <c r="M472" s="3" t="s">
        <v>74</v>
      </c>
      <c r="N472" s="3" t="s">
        <v>31</v>
      </c>
      <c r="O472" s="3">
        <v>2</v>
      </c>
      <c r="P472" s="3">
        <v>1</v>
      </c>
      <c r="Q472" s="3" t="str">
        <f t="shared" si="7"/>
        <v>Average</v>
      </c>
    </row>
    <row r="473" spans="1:17" x14ac:dyDescent="0.25">
      <c r="A473" s="3" t="s">
        <v>1036</v>
      </c>
      <c r="B473" s="3" t="s">
        <v>1037</v>
      </c>
      <c r="C473" s="3" t="s">
        <v>18</v>
      </c>
      <c r="D473" s="3">
        <v>48</v>
      </c>
      <c r="E473" s="3" t="s">
        <v>104</v>
      </c>
      <c r="F473" s="3" t="s">
        <v>105</v>
      </c>
      <c r="G473" s="3" t="s">
        <v>29</v>
      </c>
      <c r="H473" s="3">
        <v>7</v>
      </c>
      <c r="I473" s="4">
        <v>50</v>
      </c>
      <c r="J473" s="3">
        <v>4.7</v>
      </c>
      <c r="K473" s="3" t="s">
        <v>85</v>
      </c>
      <c r="L473" s="3">
        <v>0.6</v>
      </c>
      <c r="M473" s="3" t="s">
        <v>22</v>
      </c>
      <c r="N473" s="3" t="s">
        <v>67</v>
      </c>
      <c r="O473" s="3">
        <v>13</v>
      </c>
      <c r="P473" s="3">
        <v>10</v>
      </c>
      <c r="Q473" s="3" t="str">
        <f t="shared" si="7"/>
        <v>GOOD</v>
      </c>
    </row>
    <row r="474" spans="1:17" customFormat="1" hidden="1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s="1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  <c r="Q474" t="str">
        <f t="shared" si="7"/>
        <v>Average</v>
      </c>
    </row>
    <row r="475" spans="1:17" x14ac:dyDescent="0.25">
      <c r="A475" s="3" t="s">
        <v>1040</v>
      </c>
      <c r="B475" s="3" t="s">
        <v>1041</v>
      </c>
      <c r="C475" s="3" t="s">
        <v>26</v>
      </c>
      <c r="D475" s="3">
        <v>57</v>
      </c>
      <c r="E475" s="3" t="s">
        <v>186</v>
      </c>
      <c r="F475" s="3" t="s">
        <v>187</v>
      </c>
      <c r="G475" s="3" t="s">
        <v>21</v>
      </c>
      <c r="I475" s="4">
        <v>75</v>
      </c>
      <c r="J475" s="3">
        <v>4.8</v>
      </c>
      <c r="K475" s="3">
        <v>1</v>
      </c>
      <c r="M475" s="3" t="s">
        <v>22</v>
      </c>
      <c r="N475" s="3" t="s">
        <v>67</v>
      </c>
      <c r="O475" s="3">
        <v>1</v>
      </c>
      <c r="P475" s="3">
        <v>2</v>
      </c>
      <c r="Q475" s="3" t="str">
        <f t="shared" si="7"/>
        <v>GOOD</v>
      </c>
    </row>
    <row r="476" spans="1:17" customFormat="1" hidden="1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s="1" t="s">
        <v>52</v>
      </c>
      <c r="J476">
        <v>1.3</v>
      </c>
      <c r="K476">
        <v>0</v>
      </c>
      <c r="L476">
        <v>0.94</v>
      </c>
      <c r="M476" t="s">
        <v>22</v>
      </c>
      <c r="N476" t="s">
        <v>38</v>
      </c>
      <c r="O476">
        <v>6</v>
      </c>
      <c r="P476">
        <v>1</v>
      </c>
      <c r="Q476" t="str">
        <f t="shared" si="7"/>
        <v>Average</v>
      </c>
    </row>
    <row r="477" spans="1:17" customFormat="1" hidden="1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s="1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  <c r="Q477" t="str">
        <f t="shared" si="7"/>
        <v>GOOD</v>
      </c>
    </row>
    <row r="478" spans="1:17" x14ac:dyDescent="0.25">
      <c r="A478" s="3" t="s">
        <v>1046</v>
      </c>
      <c r="B478" s="3" t="s">
        <v>1047</v>
      </c>
      <c r="C478" s="3" t="s">
        <v>103</v>
      </c>
      <c r="D478" s="3">
        <v>52</v>
      </c>
      <c r="E478" s="3" t="s">
        <v>201</v>
      </c>
      <c r="F478" s="3" t="s">
        <v>83</v>
      </c>
      <c r="G478" s="3" t="s">
        <v>89</v>
      </c>
      <c r="H478" s="3">
        <v>31</v>
      </c>
      <c r="I478" s="4">
        <v>30</v>
      </c>
      <c r="K478" s="3">
        <v>1</v>
      </c>
      <c r="M478" s="3" t="s">
        <v>79</v>
      </c>
      <c r="N478" s="3" t="s">
        <v>31</v>
      </c>
      <c r="O478" s="3">
        <v>14</v>
      </c>
      <c r="P478" s="3">
        <v>3</v>
      </c>
      <c r="Q478" s="3" t="str">
        <f t="shared" si="7"/>
        <v>Average</v>
      </c>
    </row>
    <row r="479" spans="1:17" customFormat="1" hidden="1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s="1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  <c r="Q479" t="str">
        <f t="shared" si="7"/>
        <v>Average</v>
      </c>
    </row>
    <row r="480" spans="1:17" x14ac:dyDescent="0.25">
      <c r="A480" s="3" t="s">
        <v>1050</v>
      </c>
      <c r="B480" s="3" t="s">
        <v>1051</v>
      </c>
      <c r="C480" s="3" t="s">
        <v>88</v>
      </c>
      <c r="D480" s="3">
        <v>24</v>
      </c>
      <c r="E480" s="3" t="s">
        <v>49</v>
      </c>
      <c r="F480" s="3" t="s">
        <v>50</v>
      </c>
      <c r="G480" s="3" t="s">
        <v>100</v>
      </c>
      <c r="H480" s="3">
        <v>6</v>
      </c>
      <c r="I480" s="4">
        <v>30</v>
      </c>
      <c r="J480" s="3">
        <v>0</v>
      </c>
      <c r="K480" s="3" t="s">
        <v>78</v>
      </c>
      <c r="L480" s="3">
        <v>0.84</v>
      </c>
      <c r="M480" s="3" t="s">
        <v>53</v>
      </c>
      <c r="N480" s="3" t="s">
        <v>38</v>
      </c>
      <c r="O480" s="3">
        <v>6</v>
      </c>
      <c r="P480" s="3">
        <v>4</v>
      </c>
      <c r="Q480" s="3" t="str">
        <f t="shared" si="7"/>
        <v>Average</v>
      </c>
    </row>
    <row r="481" spans="1:17" x14ac:dyDescent="0.25">
      <c r="A481" s="3" t="s">
        <v>1052</v>
      </c>
      <c r="B481" s="3" t="s">
        <v>1053</v>
      </c>
      <c r="C481" s="3" t="s">
        <v>34</v>
      </c>
      <c r="D481" s="3">
        <v>48</v>
      </c>
      <c r="E481" s="3" t="s">
        <v>139</v>
      </c>
      <c r="F481" s="3" t="s">
        <v>28</v>
      </c>
      <c r="G481" s="3" t="s">
        <v>100</v>
      </c>
      <c r="H481" s="3">
        <v>21</v>
      </c>
      <c r="I481" s="4">
        <v>75</v>
      </c>
      <c r="J481" s="3">
        <v>2.7</v>
      </c>
      <c r="K481" s="3">
        <v>1</v>
      </c>
      <c r="M481" s="3" t="s">
        <v>74</v>
      </c>
      <c r="N481" s="3" t="s">
        <v>67</v>
      </c>
      <c r="O481" s="3">
        <v>17</v>
      </c>
      <c r="P481" s="3">
        <v>8</v>
      </c>
      <c r="Q481" s="3" t="str">
        <f t="shared" si="7"/>
        <v>Average</v>
      </c>
    </row>
    <row r="482" spans="1:17" x14ac:dyDescent="0.25">
      <c r="A482" s="3" t="s">
        <v>1054</v>
      </c>
      <c r="B482" s="3" t="s">
        <v>1055</v>
      </c>
      <c r="C482" s="3" t="s">
        <v>108</v>
      </c>
      <c r="D482" s="3">
        <v>59</v>
      </c>
      <c r="E482" s="3" t="s">
        <v>146</v>
      </c>
      <c r="F482" s="3" t="s">
        <v>147</v>
      </c>
      <c r="G482" s="3" t="s">
        <v>89</v>
      </c>
      <c r="H482" s="3">
        <v>13</v>
      </c>
      <c r="I482" s="4">
        <v>40</v>
      </c>
      <c r="J482" s="3">
        <v>2.4</v>
      </c>
      <c r="K482" s="3" t="s">
        <v>170</v>
      </c>
      <c r="L482" s="3">
        <v>65</v>
      </c>
      <c r="M482" s="3" t="s">
        <v>22</v>
      </c>
      <c r="N482" s="3" t="s">
        <v>23</v>
      </c>
      <c r="O482" s="3">
        <v>13</v>
      </c>
      <c r="P482" s="3">
        <v>4</v>
      </c>
      <c r="Q482" s="3" t="str">
        <f t="shared" si="7"/>
        <v>Average</v>
      </c>
    </row>
    <row r="483" spans="1:17" x14ac:dyDescent="0.25">
      <c r="A483" s="3" t="s">
        <v>1056</v>
      </c>
      <c r="B483" s="3" t="s">
        <v>1057</v>
      </c>
      <c r="C483" s="3" t="s">
        <v>70</v>
      </c>
      <c r="E483" s="3" t="s">
        <v>77</v>
      </c>
      <c r="F483" s="3" t="s">
        <v>28</v>
      </c>
      <c r="G483" s="3" t="s">
        <v>42</v>
      </c>
      <c r="I483" s="4">
        <v>40</v>
      </c>
      <c r="J483" s="3">
        <v>1.9</v>
      </c>
      <c r="K483" s="3">
        <v>1</v>
      </c>
      <c r="L483" s="3">
        <v>0.94</v>
      </c>
      <c r="M483" s="3" t="s">
        <v>79</v>
      </c>
      <c r="N483" s="3" t="s">
        <v>23</v>
      </c>
      <c r="O483" s="3">
        <v>4</v>
      </c>
      <c r="P483" s="3">
        <v>3</v>
      </c>
      <c r="Q483" s="3" t="str">
        <f t="shared" si="7"/>
        <v>Average</v>
      </c>
    </row>
    <row r="484" spans="1:17" customFormat="1" hidden="1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s="1" t="s">
        <v>132</v>
      </c>
      <c r="J484">
        <v>3.6</v>
      </c>
      <c r="K484" t="s">
        <v>170</v>
      </c>
      <c r="L484">
        <v>0.69</v>
      </c>
      <c r="M484" t="s">
        <v>74</v>
      </c>
      <c r="N484" t="s">
        <v>23</v>
      </c>
      <c r="O484">
        <v>15</v>
      </c>
      <c r="P484">
        <v>6</v>
      </c>
      <c r="Q484" t="str">
        <f t="shared" si="7"/>
        <v>GOOD</v>
      </c>
    </row>
    <row r="485" spans="1:17" x14ac:dyDescent="0.25">
      <c r="A485" s="3" t="s">
        <v>1060</v>
      </c>
      <c r="B485" s="3" t="s">
        <v>1061</v>
      </c>
      <c r="C485" s="3" t="s">
        <v>56</v>
      </c>
      <c r="D485" s="3">
        <v>25</v>
      </c>
      <c r="E485" s="3" t="s">
        <v>49</v>
      </c>
      <c r="F485" s="3" t="s">
        <v>50</v>
      </c>
      <c r="G485" s="3" t="s">
        <v>29</v>
      </c>
      <c r="H485" s="3">
        <v>0</v>
      </c>
      <c r="I485" s="4">
        <v>50</v>
      </c>
      <c r="J485" s="3">
        <v>2.9</v>
      </c>
      <c r="K485" s="3" t="s">
        <v>78</v>
      </c>
      <c r="L485" s="3">
        <v>0.65</v>
      </c>
      <c r="M485" s="3" t="s">
        <v>74</v>
      </c>
      <c r="N485" s="3" t="s">
        <v>31</v>
      </c>
      <c r="O485" s="3">
        <v>2</v>
      </c>
      <c r="P485" s="3">
        <v>1</v>
      </c>
      <c r="Q485" s="3" t="str">
        <f t="shared" si="7"/>
        <v>Average</v>
      </c>
    </row>
    <row r="486" spans="1:17" customFormat="1" hidden="1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s="1" t="s">
        <v>181</v>
      </c>
      <c r="J486">
        <v>2.8</v>
      </c>
      <c r="K486" t="b">
        <v>0</v>
      </c>
      <c r="L486">
        <v>0.6</v>
      </c>
      <c r="M486" t="s">
        <v>22</v>
      </c>
      <c r="N486" t="s">
        <v>67</v>
      </c>
      <c r="O486">
        <v>5</v>
      </c>
      <c r="P486">
        <v>1</v>
      </c>
      <c r="Q486" t="str">
        <f t="shared" si="7"/>
        <v>Average</v>
      </c>
    </row>
    <row r="487" spans="1:17" x14ac:dyDescent="0.25">
      <c r="A487" s="3" t="s">
        <v>1064</v>
      </c>
      <c r="B487" s="3" t="s">
        <v>1065</v>
      </c>
      <c r="C487" s="3" t="s">
        <v>70</v>
      </c>
      <c r="D487" s="3">
        <v>40</v>
      </c>
      <c r="E487" s="3" t="s">
        <v>71</v>
      </c>
      <c r="F487" s="3" t="s">
        <v>72</v>
      </c>
      <c r="G487" s="3" t="s">
        <v>100</v>
      </c>
      <c r="H487" s="3">
        <v>12</v>
      </c>
      <c r="I487" s="4">
        <v>75</v>
      </c>
      <c r="J487" s="3">
        <v>2.6</v>
      </c>
      <c r="K487" s="3" t="b">
        <v>0</v>
      </c>
      <c r="M487" s="3" t="s">
        <v>74</v>
      </c>
      <c r="N487" s="3" t="s">
        <v>23</v>
      </c>
      <c r="O487" s="3">
        <v>13</v>
      </c>
      <c r="P487" s="3">
        <v>13</v>
      </c>
      <c r="Q487" s="3" t="str">
        <f t="shared" si="7"/>
        <v>Average</v>
      </c>
    </row>
    <row r="488" spans="1:17" customFormat="1" hidden="1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s="1" t="s">
        <v>240</v>
      </c>
      <c r="J488">
        <v>2.7</v>
      </c>
      <c r="L488">
        <v>0.62</v>
      </c>
      <c r="M488" t="s">
        <v>74</v>
      </c>
      <c r="N488" t="s">
        <v>38</v>
      </c>
      <c r="O488">
        <v>8</v>
      </c>
      <c r="P488">
        <v>4</v>
      </c>
      <c r="Q488" t="str">
        <f t="shared" si="7"/>
        <v>Average</v>
      </c>
    </row>
    <row r="489" spans="1:17" x14ac:dyDescent="0.25">
      <c r="A489" s="3" t="s">
        <v>1067</v>
      </c>
      <c r="B489" s="3" t="s">
        <v>1068</v>
      </c>
      <c r="C489" s="3" t="s">
        <v>18</v>
      </c>
      <c r="D489" s="3">
        <v>24</v>
      </c>
      <c r="E489" s="3" t="s">
        <v>164</v>
      </c>
      <c r="F489" s="3" t="s">
        <v>165</v>
      </c>
      <c r="G489" s="3" t="s">
        <v>29</v>
      </c>
      <c r="H489" s="3">
        <v>6</v>
      </c>
      <c r="I489" s="4">
        <v>30</v>
      </c>
      <c r="J489" s="3">
        <v>1.1000000000000001</v>
      </c>
      <c r="K489" s="3" t="s">
        <v>78</v>
      </c>
      <c r="M489" s="3" t="s">
        <v>22</v>
      </c>
      <c r="N489" s="3" t="s">
        <v>23</v>
      </c>
      <c r="O489" s="3">
        <v>9</v>
      </c>
      <c r="P489" s="3">
        <v>9</v>
      </c>
      <c r="Q489" s="3" t="str">
        <f t="shared" si="7"/>
        <v>Average</v>
      </c>
    </row>
    <row r="490" spans="1:17" customFormat="1" hidden="1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s="1" t="s">
        <v>120</v>
      </c>
      <c r="J490">
        <v>0</v>
      </c>
      <c r="K490" t="s">
        <v>78</v>
      </c>
      <c r="L490">
        <v>0.89</v>
      </c>
      <c r="M490" t="s">
        <v>53</v>
      </c>
      <c r="N490" t="s">
        <v>23</v>
      </c>
      <c r="O490">
        <v>11</v>
      </c>
      <c r="P490">
        <v>10</v>
      </c>
      <c r="Q490" t="str">
        <f t="shared" si="7"/>
        <v>Average</v>
      </c>
    </row>
    <row r="491" spans="1:17" customFormat="1" hidden="1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s="1" t="s">
        <v>43</v>
      </c>
      <c r="J491">
        <v>0</v>
      </c>
      <c r="K491" t="s">
        <v>78</v>
      </c>
      <c r="L491">
        <v>0.89</v>
      </c>
      <c r="M491" t="s">
        <v>22</v>
      </c>
      <c r="N491" t="s">
        <v>23</v>
      </c>
      <c r="O491">
        <v>5</v>
      </c>
      <c r="P491">
        <v>1</v>
      </c>
      <c r="Q491" t="str">
        <f t="shared" si="7"/>
        <v>Average</v>
      </c>
    </row>
    <row r="492" spans="1:17" x14ac:dyDescent="0.25">
      <c r="A492" s="3" t="s">
        <v>1073</v>
      </c>
      <c r="B492" s="3" t="s">
        <v>1074</v>
      </c>
      <c r="C492" s="3" t="s">
        <v>103</v>
      </c>
      <c r="D492" s="3">
        <v>43</v>
      </c>
      <c r="E492" s="3" t="s">
        <v>201</v>
      </c>
      <c r="F492" s="3" t="s">
        <v>83</v>
      </c>
      <c r="G492" s="3" t="s">
        <v>21</v>
      </c>
      <c r="H492" s="3">
        <v>4</v>
      </c>
      <c r="I492" s="4">
        <v>50</v>
      </c>
      <c r="J492" s="3">
        <v>0</v>
      </c>
      <c r="K492" s="3" t="b">
        <v>1</v>
      </c>
      <c r="L492" s="3">
        <v>1</v>
      </c>
      <c r="M492" s="3" t="s">
        <v>53</v>
      </c>
      <c r="N492" s="3" t="s">
        <v>31</v>
      </c>
      <c r="O492" s="3">
        <v>2</v>
      </c>
      <c r="P492" s="3">
        <v>1</v>
      </c>
      <c r="Q492" s="3" t="str">
        <f t="shared" si="7"/>
        <v>Average</v>
      </c>
    </row>
    <row r="493" spans="1:17" customFormat="1" hidden="1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I493" s="1"/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  <c r="Q493" t="str">
        <f t="shared" si="7"/>
        <v>GOOD</v>
      </c>
    </row>
    <row r="494" spans="1:17" x14ac:dyDescent="0.25">
      <c r="A494" s="3" t="s">
        <v>1077</v>
      </c>
      <c r="B494" s="3" t="s">
        <v>1078</v>
      </c>
      <c r="C494" s="3" t="s">
        <v>26</v>
      </c>
      <c r="D494" s="3">
        <v>49</v>
      </c>
      <c r="E494" s="3" t="s">
        <v>135</v>
      </c>
      <c r="F494" s="3" t="s">
        <v>136</v>
      </c>
      <c r="G494" s="3" t="s">
        <v>84</v>
      </c>
      <c r="H494" s="3">
        <v>14</v>
      </c>
      <c r="I494" s="4">
        <v>40</v>
      </c>
      <c r="J494" s="3">
        <v>1.5</v>
      </c>
      <c r="L494" s="3">
        <v>0.6</v>
      </c>
      <c r="M494" s="3" t="s">
        <v>53</v>
      </c>
      <c r="N494" s="3" t="s">
        <v>67</v>
      </c>
      <c r="O494" s="3">
        <v>15</v>
      </c>
      <c r="P494" s="3">
        <v>10</v>
      </c>
      <c r="Q494" s="3" t="str">
        <f t="shared" si="7"/>
        <v>Average</v>
      </c>
    </row>
    <row r="495" spans="1:17" x14ac:dyDescent="0.25">
      <c r="A495" s="3" t="s">
        <v>1079</v>
      </c>
      <c r="B495" s="3" t="s">
        <v>1080</v>
      </c>
      <c r="C495" s="3" t="s">
        <v>56</v>
      </c>
      <c r="D495" s="3">
        <v>55</v>
      </c>
      <c r="E495" s="3" t="s">
        <v>139</v>
      </c>
      <c r="F495" s="3" t="s">
        <v>28</v>
      </c>
      <c r="G495" s="3" t="s">
        <v>84</v>
      </c>
      <c r="H495" s="3">
        <v>10</v>
      </c>
      <c r="I495" s="4">
        <v>40</v>
      </c>
      <c r="J495" s="3">
        <v>2</v>
      </c>
      <c r="K495" s="3" t="s">
        <v>170</v>
      </c>
      <c r="L495" s="3">
        <v>0.85</v>
      </c>
      <c r="M495" s="3" t="s">
        <v>53</v>
      </c>
      <c r="N495" s="3" t="s">
        <v>38</v>
      </c>
      <c r="O495" s="3">
        <v>7</v>
      </c>
      <c r="P495" s="3">
        <v>6</v>
      </c>
      <c r="Q495" s="3" t="str">
        <f t="shared" si="7"/>
        <v>Average</v>
      </c>
    </row>
    <row r="496" spans="1:17" customFormat="1" hidden="1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s="1" t="s">
        <v>43</v>
      </c>
      <c r="J496">
        <v>1.6</v>
      </c>
      <c r="L496">
        <v>0.83</v>
      </c>
      <c r="M496" t="s">
        <v>79</v>
      </c>
      <c r="N496" t="s">
        <v>67</v>
      </c>
      <c r="O496">
        <v>4</v>
      </c>
      <c r="P496">
        <v>2</v>
      </c>
      <c r="Q496" t="str">
        <f t="shared" si="7"/>
        <v>Average</v>
      </c>
    </row>
    <row r="497" spans="1:17" customFormat="1" hidden="1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s="1" t="s">
        <v>52</v>
      </c>
      <c r="J497">
        <v>1.5</v>
      </c>
      <c r="K497" t="s">
        <v>37</v>
      </c>
      <c r="L497">
        <v>0.96</v>
      </c>
      <c r="M497" t="s">
        <v>53</v>
      </c>
      <c r="N497" t="s">
        <v>31</v>
      </c>
      <c r="O497">
        <v>5</v>
      </c>
      <c r="P497">
        <v>1</v>
      </c>
      <c r="Q497" t="str">
        <f t="shared" si="7"/>
        <v>Average</v>
      </c>
    </row>
    <row r="498" spans="1:17" customFormat="1" hidden="1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I498" s="1"/>
      <c r="J498">
        <v>4.0999999999999996</v>
      </c>
      <c r="K498" t="s">
        <v>85</v>
      </c>
      <c r="L498">
        <v>0.83</v>
      </c>
      <c r="M498" t="s">
        <v>22</v>
      </c>
      <c r="N498" t="s">
        <v>31</v>
      </c>
      <c r="O498">
        <v>19</v>
      </c>
      <c r="P498">
        <v>3</v>
      </c>
      <c r="Q498" t="str">
        <f t="shared" si="7"/>
        <v>GOOD</v>
      </c>
    </row>
    <row r="499" spans="1:17" x14ac:dyDescent="0.25">
      <c r="A499" s="3" t="s">
        <v>1087</v>
      </c>
      <c r="B499" s="3" t="s">
        <v>1088</v>
      </c>
      <c r="C499" s="3" t="s">
        <v>34</v>
      </c>
      <c r="D499" s="3">
        <v>49</v>
      </c>
      <c r="E499" s="3" t="s">
        <v>57</v>
      </c>
      <c r="F499" s="3" t="s">
        <v>58</v>
      </c>
      <c r="G499" s="3" t="s">
        <v>59</v>
      </c>
      <c r="H499" s="3">
        <v>24</v>
      </c>
      <c r="I499" s="4">
        <v>100</v>
      </c>
      <c r="J499" s="3">
        <v>4.7</v>
      </c>
      <c r="K499" s="3">
        <v>0</v>
      </c>
      <c r="L499" s="3">
        <v>0.6</v>
      </c>
      <c r="M499" s="3" t="s">
        <v>53</v>
      </c>
      <c r="N499" s="3" t="s">
        <v>31</v>
      </c>
      <c r="O499" s="3">
        <v>20</v>
      </c>
      <c r="P499" s="3">
        <v>3</v>
      </c>
      <c r="Q499" s="3" t="str">
        <f t="shared" si="7"/>
        <v>GOOD</v>
      </c>
    </row>
    <row r="500" spans="1:17" customFormat="1" hidden="1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s="1" t="s">
        <v>30</v>
      </c>
      <c r="J500">
        <v>3.6</v>
      </c>
      <c r="K500">
        <v>1</v>
      </c>
      <c r="L500">
        <v>0.78</v>
      </c>
      <c r="M500" t="s">
        <v>79</v>
      </c>
      <c r="N500" t="s">
        <v>31</v>
      </c>
      <c r="O500">
        <v>3</v>
      </c>
      <c r="P500">
        <v>4</v>
      </c>
      <c r="Q500" t="str">
        <f t="shared" si="7"/>
        <v>GOOD</v>
      </c>
    </row>
    <row r="501" spans="1:17" customFormat="1" hidden="1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s="1" t="s">
        <v>132</v>
      </c>
      <c r="J501">
        <v>1.8</v>
      </c>
      <c r="K501">
        <v>1</v>
      </c>
      <c r="L501">
        <v>0.9</v>
      </c>
      <c r="M501" t="s">
        <v>22</v>
      </c>
      <c r="N501" t="s">
        <v>67</v>
      </c>
      <c r="O501">
        <v>13</v>
      </c>
      <c r="P501">
        <v>10</v>
      </c>
      <c r="Q501" t="str">
        <f t="shared" si="7"/>
        <v>Average</v>
      </c>
    </row>
    <row r="502" spans="1:17" customFormat="1" hidden="1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s="1" t="s">
        <v>30</v>
      </c>
      <c r="J502">
        <v>2.1</v>
      </c>
      <c r="K502">
        <v>0</v>
      </c>
      <c r="L502">
        <v>0.66</v>
      </c>
      <c r="M502" t="s">
        <v>79</v>
      </c>
      <c r="N502" t="s">
        <v>23</v>
      </c>
      <c r="O502">
        <v>8</v>
      </c>
      <c r="P502">
        <v>9</v>
      </c>
      <c r="Q502" t="str">
        <f t="shared" si="7"/>
        <v>Average</v>
      </c>
    </row>
    <row r="503" spans="1:17" customFormat="1" hidden="1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s="1" t="s">
        <v>73</v>
      </c>
      <c r="K503" t="s">
        <v>78</v>
      </c>
      <c r="L503">
        <v>0.7</v>
      </c>
      <c r="M503" t="s">
        <v>79</v>
      </c>
      <c r="N503" t="s">
        <v>67</v>
      </c>
      <c r="O503">
        <v>4</v>
      </c>
      <c r="P503">
        <v>5</v>
      </c>
      <c r="Q503" t="str">
        <f t="shared" si="7"/>
        <v>Average</v>
      </c>
    </row>
    <row r="504" spans="1:17" customFormat="1" hidden="1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s="1" t="s">
        <v>120</v>
      </c>
      <c r="J504">
        <v>4.2</v>
      </c>
      <c r="K504" t="s">
        <v>78</v>
      </c>
      <c r="L504">
        <v>0.79</v>
      </c>
      <c r="M504" t="s">
        <v>74</v>
      </c>
      <c r="N504" t="s">
        <v>38</v>
      </c>
      <c r="O504">
        <v>3</v>
      </c>
      <c r="P504">
        <v>2</v>
      </c>
      <c r="Q504" t="str">
        <f t="shared" si="7"/>
        <v>GOOD</v>
      </c>
    </row>
    <row r="505" spans="1:17" x14ac:dyDescent="0.25">
      <c r="A505" s="3" t="s">
        <v>1099</v>
      </c>
      <c r="B505" s="3" t="s">
        <v>1100</v>
      </c>
      <c r="C505" s="3" t="s">
        <v>103</v>
      </c>
      <c r="D505" s="3">
        <v>23</v>
      </c>
      <c r="E505" s="3" t="s">
        <v>123</v>
      </c>
      <c r="F505" s="3" t="s">
        <v>124</v>
      </c>
      <c r="G505" s="3" t="s">
        <v>21</v>
      </c>
      <c r="H505" s="3">
        <v>1</v>
      </c>
      <c r="I505" s="4">
        <v>40</v>
      </c>
      <c r="J505" s="3">
        <v>0</v>
      </c>
      <c r="K505" s="3">
        <v>0</v>
      </c>
      <c r="L505" s="3">
        <v>0.64</v>
      </c>
      <c r="M505" s="3" t="s">
        <v>74</v>
      </c>
      <c r="N505" s="3" t="s">
        <v>31</v>
      </c>
      <c r="O505" s="3">
        <v>2</v>
      </c>
      <c r="P505" s="3">
        <v>3</v>
      </c>
      <c r="Q505" s="3" t="str">
        <f t="shared" si="7"/>
        <v>Average</v>
      </c>
    </row>
    <row r="506" spans="1:17" customFormat="1" hidden="1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s="1" t="s">
        <v>120</v>
      </c>
      <c r="J506">
        <v>1</v>
      </c>
      <c r="K506" t="s">
        <v>37</v>
      </c>
      <c r="L506">
        <v>0.81</v>
      </c>
      <c r="M506" t="s">
        <v>79</v>
      </c>
      <c r="N506" t="s">
        <v>31</v>
      </c>
      <c r="O506">
        <v>1</v>
      </c>
      <c r="P506">
        <v>3</v>
      </c>
      <c r="Q506" t="str">
        <f t="shared" si="7"/>
        <v>Average</v>
      </c>
    </row>
    <row r="507" spans="1:17" x14ac:dyDescent="0.25">
      <c r="A507" s="3" t="s">
        <v>1103</v>
      </c>
      <c r="B507" s="3" t="s">
        <v>1104</v>
      </c>
      <c r="C507" s="3" t="s">
        <v>108</v>
      </c>
      <c r="D507" s="3">
        <v>31</v>
      </c>
      <c r="E507" s="3" t="s">
        <v>82</v>
      </c>
      <c r="F507" s="3" t="s">
        <v>83</v>
      </c>
      <c r="G507" s="3" t="s">
        <v>51</v>
      </c>
      <c r="H507" s="3">
        <v>7</v>
      </c>
      <c r="I507" s="4">
        <v>75</v>
      </c>
      <c r="J507" s="3">
        <v>4.4000000000000004</v>
      </c>
      <c r="K507" s="3">
        <v>0</v>
      </c>
      <c r="L507" s="3">
        <v>0.83</v>
      </c>
      <c r="M507" s="3" t="s">
        <v>79</v>
      </c>
      <c r="N507" s="3" t="s">
        <v>38</v>
      </c>
      <c r="O507" s="3">
        <v>12</v>
      </c>
      <c r="P507" s="3">
        <v>6</v>
      </c>
      <c r="Q507" s="3" t="str">
        <f t="shared" si="7"/>
        <v>GOOD</v>
      </c>
    </row>
    <row r="508" spans="1:17" x14ac:dyDescent="0.25">
      <c r="A508" s="3" t="s">
        <v>1105</v>
      </c>
      <c r="B508" s="3" t="s">
        <v>1106</v>
      </c>
      <c r="C508" s="3" t="s">
        <v>103</v>
      </c>
      <c r="D508" s="3">
        <v>21</v>
      </c>
      <c r="E508" s="3" t="s">
        <v>190</v>
      </c>
      <c r="F508" s="3" t="s">
        <v>83</v>
      </c>
      <c r="G508" s="3" t="s">
        <v>21</v>
      </c>
      <c r="I508" s="4">
        <v>40</v>
      </c>
      <c r="J508" s="3">
        <v>4</v>
      </c>
      <c r="K508" s="3">
        <v>0</v>
      </c>
      <c r="L508" s="3">
        <v>0.91</v>
      </c>
      <c r="M508" s="3" t="s">
        <v>79</v>
      </c>
      <c r="N508" s="3" t="s">
        <v>67</v>
      </c>
      <c r="O508" s="3">
        <v>2</v>
      </c>
      <c r="P508" s="3">
        <v>1</v>
      </c>
      <c r="Q508" s="3" t="str">
        <f t="shared" si="7"/>
        <v>GOOD</v>
      </c>
    </row>
    <row r="509" spans="1:17" customFormat="1" hidden="1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s="1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  <c r="Q509" t="str">
        <f t="shared" si="7"/>
        <v>Average</v>
      </c>
    </row>
    <row r="510" spans="1:17" x14ac:dyDescent="0.25">
      <c r="A510" s="3" t="s">
        <v>1109</v>
      </c>
      <c r="B510" s="3" t="s">
        <v>1110</v>
      </c>
      <c r="C510" s="3" t="s">
        <v>56</v>
      </c>
      <c r="D510" s="3">
        <v>57</v>
      </c>
      <c r="E510" s="3" t="s">
        <v>118</v>
      </c>
      <c r="F510" s="3" t="s">
        <v>119</v>
      </c>
      <c r="G510" s="3" t="s">
        <v>42</v>
      </c>
      <c r="H510" s="3">
        <v>5</v>
      </c>
      <c r="I510" s="4">
        <v>75</v>
      </c>
      <c r="J510" s="3">
        <v>1.1000000000000001</v>
      </c>
      <c r="K510" s="3" t="b">
        <v>1</v>
      </c>
      <c r="L510" s="3">
        <v>0.77</v>
      </c>
      <c r="M510" s="3" t="s">
        <v>74</v>
      </c>
      <c r="N510" s="3" t="s">
        <v>23</v>
      </c>
      <c r="O510" s="3">
        <v>2</v>
      </c>
      <c r="P510" s="3">
        <v>3</v>
      </c>
      <c r="Q510" s="3" t="str">
        <f t="shared" si="7"/>
        <v>Average</v>
      </c>
    </row>
    <row r="511" spans="1:17" customFormat="1" hidden="1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s="1" t="s">
        <v>60</v>
      </c>
      <c r="J511">
        <v>0</v>
      </c>
      <c r="K511">
        <v>0</v>
      </c>
      <c r="L511">
        <v>0.94</v>
      </c>
      <c r="M511" t="s">
        <v>53</v>
      </c>
      <c r="N511" t="s">
        <v>38</v>
      </c>
      <c r="O511">
        <v>18</v>
      </c>
      <c r="P511">
        <v>6</v>
      </c>
      <c r="Q511" t="str">
        <f t="shared" si="7"/>
        <v>Average</v>
      </c>
    </row>
    <row r="512" spans="1:17" customFormat="1" hidden="1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1" t="s">
        <v>132</v>
      </c>
      <c r="J512">
        <v>3.8</v>
      </c>
      <c r="K512">
        <v>1</v>
      </c>
      <c r="L512">
        <v>0.61</v>
      </c>
      <c r="M512" t="s">
        <v>53</v>
      </c>
      <c r="N512" t="s">
        <v>23</v>
      </c>
      <c r="O512">
        <v>5</v>
      </c>
      <c r="P512">
        <v>2</v>
      </c>
      <c r="Q512" t="str">
        <f t="shared" si="7"/>
        <v>GOOD</v>
      </c>
    </row>
    <row r="513" spans="1:17" x14ac:dyDescent="0.25">
      <c r="A513" s="3" t="s">
        <v>1115</v>
      </c>
      <c r="B513" s="3" t="s">
        <v>1116</v>
      </c>
      <c r="C513" s="3" t="s">
        <v>26</v>
      </c>
      <c r="D513" s="3">
        <v>36</v>
      </c>
      <c r="E513" s="3" t="s">
        <v>82</v>
      </c>
      <c r="F513" s="3" t="s">
        <v>83</v>
      </c>
      <c r="G513" s="3" t="s">
        <v>84</v>
      </c>
      <c r="H513" s="3">
        <v>8</v>
      </c>
      <c r="I513" s="4">
        <v>100</v>
      </c>
      <c r="J513" s="3">
        <v>1.7</v>
      </c>
      <c r="K513" s="3" t="s">
        <v>37</v>
      </c>
      <c r="L513" s="3">
        <v>0.68</v>
      </c>
      <c r="M513" s="3" t="s">
        <v>79</v>
      </c>
      <c r="N513" s="3" t="s">
        <v>67</v>
      </c>
      <c r="O513" s="3">
        <v>9</v>
      </c>
      <c r="P513" s="3">
        <v>5</v>
      </c>
      <c r="Q513" s="3" t="str">
        <f t="shared" si="7"/>
        <v>Average</v>
      </c>
    </row>
    <row r="514" spans="1:17" x14ac:dyDescent="0.25">
      <c r="A514" s="3" t="s">
        <v>1117</v>
      </c>
      <c r="B514" s="3" t="s">
        <v>1118</v>
      </c>
      <c r="C514" s="3" t="s">
        <v>34</v>
      </c>
      <c r="D514" s="3">
        <v>33</v>
      </c>
      <c r="E514" s="3" t="s">
        <v>201</v>
      </c>
      <c r="F514" s="3" t="s">
        <v>83</v>
      </c>
      <c r="G514" s="3" t="s">
        <v>125</v>
      </c>
      <c r="H514" s="3">
        <v>13</v>
      </c>
      <c r="I514" s="4">
        <v>50</v>
      </c>
      <c r="J514" s="3">
        <v>2.2000000000000002</v>
      </c>
      <c r="K514" s="3" t="s">
        <v>37</v>
      </c>
      <c r="L514" s="3">
        <v>0.7</v>
      </c>
      <c r="M514" s="3" t="s">
        <v>22</v>
      </c>
      <c r="N514" s="3" t="s">
        <v>67</v>
      </c>
      <c r="O514" s="3">
        <v>8</v>
      </c>
      <c r="P514" s="3">
        <v>10</v>
      </c>
      <c r="Q514" s="3" t="str">
        <f t="shared" ref="Q514:Q577" si="8">IF(J514&lt;3.5,"Average","GOOD")</f>
        <v>Average</v>
      </c>
    </row>
    <row r="515" spans="1:17" x14ac:dyDescent="0.25">
      <c r="A515" s="3" t="s">
        <v>1119</v>
      </c>
      <c r="B515" s="3" t="s">
        <v>1120</v>
      </c>
      <c r="C515" s="3" t="s">
        <v>41</v>
      </c>
      <c r="D515" s="3">
        <v>54</v>
      </c>
      <c r="E515" s="3" t="s">
        <v>77</v>
      </c>
      <c r="F515" s="3" t="s">
        <v>28</v>
      </c>
      <c r="G515" s="3" t="s">
        <v>59</v>
      </c>
      <c r="H515" s="3">
        <v>15</v>
      </c>
      <c r="I515" s="4">
        <v>40</v>
      </c>
      <c r="J515" s="3">
        <v>4.0999999999999996</v>
      </c>
      <c r="K515" s="3" t="b">
        <v>1</v>
      </c>
      <c r="L515" s="3">
        <v>71</v>
      </c>
      <c r="M515" s="3" t="s">
        <v>22</v>
      </c>
      <c r="N515" s="3" t="s">
        <v>38</v>
      </c>
      <c r="O515" s="3">
        <v>14</v>
      </c>
      <c r="P515" s="3">
        <v>6</v>
      </c>
      <c r="Q515" s="3" t="str">
        <f t="shared" si="8"/>
        <v>GOOD</v>
      </c>
    </row>
    <row r="516" spans="1:17" customFormat="1" hidden="1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s="1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  <c r="Q516" t="str">
        <f t="shared" si="8"/>
        <v>GOOD</v>
      </c>
    </row>
    <row r="517" spans="1:17" customFormat="1" hidden="1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s="1" t="s">
        <v>52</v>
      </c>
      <c r="J517">
        <v>0</v>
      </c>
      <c r="K517" t="s">
        <v>78</v>
      </c>
      <c r="L517">
        <v>0.78</v>
      </c>
      <c r="M517" t="s">
        <v>74</v>
      </c>
      <c r="N517" t="s">
        <v>31</v>
      </c>
      <c r="O517">
        <v>12</v>
      </c>
      <c r="P517">
        <v>1</v>
      </c>
      <c r="Q517" t="str">
        <f t="shared" si="8"/>
        <v>Average</v>
      </c>
    </row>
    <row r="518" spans="1:17" customFormat="1" hidden="1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s="1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  <c r="Q518" t="str">
        <f t="shared" si="8"/>
        <v>Average</v>
      </c>
    </row>
    <row r="519" spans="1:17" customFormat="1" hidden="1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s="1" t="s">
        <v>132</v>
      </c>
      <c r="J519">
        <v>4.2</v>
      </c>
      <c r="K519" t="b">
        <v>1</v>
      </c>
      <c r="L519">
        <v>0.91</v>
      </c>
      <c r="M519" t="s">
        <v>79</v>
      </c>
      <c r="N519" t="s">
        <v>67</v>
      </c>
      <c r="O519">
        <v>6</v>
      </c>
      <c r="P519">
        <v>9</v>
      </c>
      <c r="Q519" t="str">
        <f t="shared" si="8"/>
        <v>GOOD</v>
      </c>
    </row>
    <row r="520" spans="1:17" customFormat="1" hidden="1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s="1" t="s">
        <v>60</v>
      </c>
      <c r="J520">
        <v>2.2000000000000002</v>
      </c>
      <c r="K520">
        <v>1</v>
      </c>
      <c r="L520">
        <v>0.66</v>
      </c>
      <c r="M520" t="s">
        <v>22</v>
      </c>
      <c r="N520" t="s">
        <v>38</v>
      </c>
      <c r="O520">
        <v>20</v>
      </c>
      <c r="P520">
        <v>9</v>
      </c>
      <c r="Q520" t="str">
        <f t="shared" si="8"/>
        <v>Average</v>
      </c>
    </row>
    <row r="521" spans="1:17" customFormat="1" hidden="1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s="1" t="s">
        <v>60</v>
      </c>
      <c r="J521">
        <v>1.5</v>
      </c>
      <c r="K521">
        <v>1</v>
      </c>
      <c r="L521">
        <v>0.68</v>
      </c>
      <c r="M521" t="s">
        <v>53</v>
      </c>
      <c r="N521" t="s">
        <v>23</v>
      </c>
      <c r="O521">
        <v>4</v>
      </c>
      <c r="P521">
        <v>2</v>
      </c>
      <c r="Q521" t="str">
        <f t="shared" si="8"/>
        <v>Average</v>
      </c>
    </row>
    <row r="522" spans="1:17" customFormat="1" hidden="1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s="1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  <c r="Q522" t="str">
        <f t="shared" si="8"/>
        <v>Average</v>
      </c>
    </row>
    <row r="523" spans="1:17" customFormat="1" hidden="1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s="1" t="s">
        <v>30</v>
      </c>
      <c r="J523">
        <v>4.0999999999999996</v>
      </c>
      <c r="K523">
        <v>0</v>
      </c>
      <c r="L523">
        <v>0.62</v>
      </c>
      <c r="M523" t="s">
        <v>53</v>
      </c>
      <c r="N523" t="s">
        <v>31</v>
      </c>
      <c r="O523">
        <v>3</v>
      </c>
      <c r="P523">
        <v>1</v>
      </c>
      <c r="Q523" t="str">
        <f t="shared" si="8"/>
        <v>GOOD</v>
      </c>
    </row>
    <row r="524" spans="1:17" x14ac:dyDescent="0.25">
      <c r="A524" s="3" t="s">
        <v>1137</v>
      </c>
      <c r="B524" s="3" t="s">
        <v>1138</v>
      </c>
      <c r="C524" s="3" t="s">
        <v>56</v>
      </c>
      <c r="D524" s="3">
        <v>36</v>
      </c>
      <c r="E524" s="3" t="s">
        <v>150</v>
      </c>
      <c r="F524" s="3" t="s">
        <v>151</v>
      </c>
      <c r="G524" s="3" t="s">
        <v>21</v>
      </c>
      <c r="H524" s="3">
        <v>4</v>
      </c>
      <c r="I524" s="4">
        <v>40</v>
      </c>
      <c r="J524" s="3">
        <v>2.6</v>
      </c>
      <c r="K524" s="3" t="s">
        <v>170</v>
      </c>
      <c r="L524" s="3">
        <v>0.9</v>
      </c>
      <c r="M524" s="3" t="s">
        <v>53</v>
      </c>
      <c r="N524" s="3" t="s">
        <v>67</v>
      </c>
      <c r="O524" s="3">
        <v>2</v>
      </c>
      <c r="P524" s="3">
        <v>4</v>
      </c>
      <c r="Q524" s="3" t="str">
        <f t="shared" si="8"/>
        <v>Average</v>
      </c>
    </row>
    <row r="525" spans="1:17" x14ac:dyDescent="0.25">
      <c r="A525" s="3" t="s">
        <v>1139</v>
      </c>
      <c r="B525" s="3" t="s">
        <v>1140</v>
      </c>
      <c r="C525" s="3" t="s">
        <v>26</v>
      </c>
      <c r="D525" s="3">
        <v>45</v>
      </c>
      <c r="E525" s="3" t="s">
        <v>66</v>
      </c>
      <c r="F525" s="3" t="s">
        <v>28</v>
      </c>
      <c r="G525" s="3" t="s">
        <v>84</v>
      </c>
      <c r="H525" s="3">
        <v>23</v>
      </c>
      <c r="I525" s="4">
        <v>100</v>
      </c>
      <c r="J525" s="3">
        <v>2.4</v>
      </c>
      <c r="K525" s="3" t="b">
        <v>0</v>
      </c>
      <c r="L525" s="3">
        <v>0.96</v>
      </c>
      <c r="M525" s="3" t="s">
        <v>79</v>
      </c>
      <c r="N525" s="3" t="s">
        <v>38</v>
      </c>
      <c r="O525" s="3">
        <v>14</v>
      </c>
      <c r="P525" s="3">
        <v>1</v>
      </c>
      <c r="Q525" s="3" t="str">
        <f t="shared" si="8"/>
        <v>Average</v>
      </c>
    </row>
    <row r="526" spans="1:17" x14ac:dyDescent="0.25">
      <c r="A526" s="3" t="s">
        <v>1141</v>
      </c>
      <c r="B526" s="3" t="s">
        <v>1142</v>
      </c>
      <c r="C526" s="3" t="s">
        <v>41</v>
      </c>
      <c r="D526" s="3">
        <v>51</v>
      </c>
      <c r="E526" s="3" t="s">
        <v>66</v>
      </c>
      <c r="F526" s="3" t="s">
        <v>28</v>
      </c>
      <c r="G526" s="3" t="s">
        <v>21</v>
      </c>
      <c r="H526" s="3">
        <v>25</v>
      </c>
      <c r="I526" s="4">
        <v>50</v>
      </c>
      <c r="J526" s="3">
        <v>1.4</v>
      </c>
      <c r="K526" s="3" t="s">
        <v>85</v>
      </c>
      <c r="L526" s="3">
        <v>0.6</v>
      </c>
      <c r="M526" s="3" t="s">
        <v>53</v>
      </c>
      <c r="N526" s="3" t="s">
        <v>38</v>
      </c>
      <c r="O526" s="3">
        <v>17</v>
      </c>
      <c r="P526" s="3">
        <v>7</v>
      </c>
      <c r="Q526" s="3" t="str">
        <f t="shared" si="8"/>
        <v>Average</v>
      </c>
    </row>
    <row r="527" spans="1:17" customFormat="1" hidden="1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I527" s="1"/>
      <c r="J527">
        <v>4.5999999999999996</v>
      </c>
      <c r="K527" t="s">
        <v>85</v>
      </c>
      <c r="L527">
        <v>0.62</v>
      </c>
      <c r="M527" t="s">
        <v>22</v>
      </c>
      <c r="N527" t="s">
        <v>67</v>
      </c>
      <c r="O527">
        <v>6</v>
      </c>
      <c r="P527">
        <v>1</v>
      </c>
      <c r="Q527" t="str">
        <f t="shared" si="8"/>
        <v>GOOD</v>
      </c>
    </row>
    <row r="528" spans="1:17" customFormat="1" hidden="1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s="1" t="s">
        <v>63</v>
      </c>
      <c r="J528">
        <v>4.9000000000000004</v>
      </c>
      <c r="K528" t="b">
        <v>0</v>
      </c>
      <c r="L528">
        <v>0.74</v>
      </c>
      <c r="M528" t="s">
        <v>53</v>
      </c>
      <c r="N528" t="s">
        <v>31</v>
      </c>
      <c r="O528">
        <v>11</v>
      </c>
      <c r="P528">
        <v>11</v>
      </c>
      <c r="Q528" t="str">
        <f t="shared" si="8"/>
        <v>GOOD</v>
      </c>
    </row>
    <row r="529" spans="1:17" customFormat="1" hidden="1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s="1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  <c r="Q529" t="str">
        <f t="shared" si="8"/>
        <v>Average</v>
      </c>
    </row>
    <row r="530" spans="1:17" x14ac:dyDescent="0.25">
      <c r="A530" s="3" t="s">
        <v>1149</v>
      </c>
      <c r="B530" s="3" t="s">
        <v>1150</v>
      </c>
      <c r="C530" s="3" t="s">
        <v>88</v>
      </c>
      <c r="D530" s="3">
        <v>40</v>
      </c>
      <c r="E530" s="3" t="s">
        <v>77</v>
      </c>
      <c r="F530" s="3" t="s">
        <v>28</v>
      </c>
      <c r="G530" s="3" t="s">
        <v>100</v>
      </c>
      <c r="H530" s="3">
        <v>12</v>
      </c>
      <c r="I530" s="4">
        <v>30</v>
      </c>
      <c r="J530" s="3">
        <v>3.5</v>
      </c>
      <c r="L530" s="3">
        <v>0.98</v>
      </c>
      <c r="M530" s="3" t="s">
        <v>22</v>
      </c>
      <c r="N530" s="3" t="s">
        <v>31</v>
      </c>
      <c r="O530" s="3">
        <v>12</v>
      </c>
      <c r="P530" s="3">
        <v>9</v>
      </c>
      <c r="Q530" s="3" t="str">
        <f t="shared" si="8"/>
        <v>GOOD</v>
      </c>
    </row>
    <row r="531" spans="1:17" customFormat="1" hidden="1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I531" s="1"/>
      <c r="J531">
        <v>1.7</v>
      </c>
      <c r="K531" t="s">
        <v>78</v>
      </c>
      <c r="L531">
        <v>0.63</v>
      </c>
      <c r="M531" t="s">
        <v>22</v>
      </c>
      <c r="N531" t="s">
        <v>38</v>
      </c>
      <c r="O531">
        <v>2</v>
      </c>
      <c r="P531">
        <v>1</v>
      </c>
      <c r="Q531" t="str">
        <f t="shared" si="8"/>
        <v>Average</v>
      </c>
    </row>
    <row r="532" spans="1:17" customFormat="1" hidden="1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s="1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  <c r="Q532" t="str">
        <f t="shared" si="8"/>
        <v>Average</v>
      </c>
    </row>
    <row r="533" spans="1:17" customFormat="1" hidden="1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s="1" t="s">
        <v>325</v>
      </c>
      <c r="J533">
        <v>0</v>
      </c>
      <c r="K533">
        <v>0</v>
      </c>
      <c r="L533">
        <v>0.88</v>
      </c>
      <c r="M533" t="s">
        <v>53</v>
      </c>
      <c r="N533" t="s">
        <v>23</v>
      </c>
      <c r="O533">
        <v>18</v>
      </c>
      <c r="P533">
        <v>8</v>
      </c>
      <c r="Q533" t="str">
        <f t="shared" si="8"/>
        <v>Average</v>
      </c>
    </row>
    <row r="534" spans="1:17" customFormat="1" hidden="1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I534" s="1"/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  <c r="Q534" t="str">
        <f t="shared" si="8"/>
        <v>GOOD</v>
      </c>
    </row>
    <row r="535" spans="1:17" x14ac:dyDescent="0.25">
      <c r="A535" s="3" t="s">
        <v>1159</v>
      </c>
      <c r="B535" s="3" t="s">
        <v>1160</v>
      </c>
      <c r="C535" s="3" t="s">
        <v>46</v>
      </c>
      <c r="D535" s="3">
        <v>41</v>
      </c>
      <c r="E535" s="3" t="s">
        <v>35</v>
      </c>
      <c r="F535" s="3" t="s">
        <v>35</v>
      </c>
      <c r="G535" s="3" t="s">
        <v>42</v>
      </c>
      <c r="H535" s="3">
        <v>14</v>
      </c>
      <c r="I535" s="4">
        <v>40</v>
      </c>
      <c r="J535" s="3">
        <v>1.1000000000000001</v>
      </c>
      <c r="K535" s="3" t="b">
        <v>1</v>
      </c>
      <c r="L535" s="3">
        <v>0.73</v>
      </c>
      <c r="M535" s="3" t="s">
        <v>79</v>
      </c>
      <c r="N535" s="3" t="s">
        <v>31</v>
      </c>
      <c r="O535" s="3">
        <v>7</v>
      </c>
      <c r="P535" s="3">
        <v>5</v>
      </c>
      <c r="Q535" s="3" t="str">
        <f t="shared" si="8"/>
        <v>Average</v>
      </c>
    </row>
    <row r="536" spans="1:17" customFormat="1" hidden="1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I536" s="1"/>
      <c r="J536">
        <v>4.2</v>
      </c>
      <c r="K536">
        <v>0</v>
      </c>
      <c r="L536">
        <v>0.88</v>
      </c>
      <c r="M536" t="s">
        <v>53</v>
      </c>
      <c r="N536" t="s">
        <v>67</v>
      </c>
      <c r="O536">
        <v>15</v>
      </c>
      <c r="P536">
        <v>4</v>
      </c>
      <c r="Q536" t="str">
        <f t="shared" si="8"/>
        <v>GOOD</v>
      </c>
    </row>
    <row r="537" spans="1:17" customFormat="1" hidden="1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I537" s="1"/>
      <c r="J537">
        <v>0</v>
      </c>
      <c r="K537" t="b">
        <v>0</v>
      </c>
      <c r="L537">
        <v>0.91</v>
      </c>
      <c r="M537" t="s">
        <v>74</v>
      </c>
      <c r="N537" t="s">
        <v>31</v>
      </c>
      <c r="O537">
        <v>10</v>
      </c>
      <c r="P537">
        <v>5</v>
      </c>
      <c r="Q537" t="str">
        <f t="shared" si="8"/>
        <v>Average</v>
      </c>
    </row>
    <row r="538" spans="1:17" customFormat="1" hidden="1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s="1" t="s">
        <v>52</v>
      </c>
      <c r="J538">
        <v>3.9</v>
      </c>
      <c r="K538" t="s">
        <v>170</v>
      </c>
      <c r="L538">
        <v>0.65</v>
      </c>
      <c r="M538" t="s">
        <v>74</v>
      </c>
      <c r="N538" t="s">
        <v>23</v>
      </c>
      <c r="O538">
        <v>15</v>
      </c>
      <c r="P538">
        <v>13</v>
      </c>
      <c r="Q538" t="str">
        <f t="shared" si="8"/>
        <v>GOOD</v>
      </c>
    </row>
    <row r="539" spans="1:17" x14ac:dyDescent="0.25">
      <c r="A539" s="3" t="s">
        <v>1167</v>
      </c>
      <c r="B539" s="3" t="s">
        <v>1168</v>
      </c>
      <c r="C539" s="3" t="s">
        <v>70</v>
      </c>
      <c r="D539" s="3">
        <v>51</v>
      </c>
      <c r="E539" s="3" t="s">
        <v>190</v>
      </c>
      <c r="F539" s="3" t="s">
        <v>83</v>
      </c>
      <c r="G539" s="3" t="s">
        <v>84</v>
      </c>
      <c r="H539" s="3">
        <v>22</v>
      </c>
      <c r="I539" s="4">
        <v>20</v>
      </c>
      <c r="J539" s="3">
        <v>3.4</v>
      </c>
      <c r="K539" s="3" t="b">
        <v>1</v>
      </c>
      <c r="L539" s="3">
        <v>90</v>
      </c>
      <c r="M539" s="3" t="s">
        <v>22</v>
      </c>
      <c r="N539" s="3" t="s">
        <v>31</v>
      </c>
      <c r="O539" s="3">
        <v>15</v>
      </c>
      <c r="P539" s="3">
        <v>15</v>
      </c>
      <c r="Q539" s="3" t="str">
        <f t="shared" si="8"/>
        <v>Average</v>
      </c>
    </row>
    <row r="540" spans="1:17" customFormat="1" hidden="1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s="1" t="s">
        <v>132</v>
      </c>
      <c r="J540">
        <v>2.6</v>
      </c>
      <c r="K540" t="s">
        <v>37</v>
      </c>
      <c r="L540">
        <v>0.72</v>
      </c>
      <c r="M540" t="s">
        <v>53</v>
      </c>
      <c r="N540" t="s">
        <v>31</v>
      </c>
      <c r="O540">
        <v>2</v>
      </c>
      <c r="P540">
        <v>5</v>
      </c>
      <c r="Q540" t="str">
        <f t="shared" si="8"/>
        <v>Average</v>
      </c>
    </row>
    <row r="541" spans="1:17" customFormat="1" hidden="1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s="1" t="s">
        <v>63</v>
      </c>
      <c r="J541">
        <v>2.2999999999999998</v>
      </c>
      <c r="K541">
        <v>1</v>
      </c>
      <c r="L541">
        <v>0.72</v>
      </c>
      <c r="M541" t="s">
        <v>53</v>
      </c>
      <c r="N541" t="s">
        <v>23</v>
      </c>
      <c r="O541">
        <v>1</v>
      </c>
      <c r="P541">
        <v>2</v>
      </c>
      <c r="Q541" t="str">
        <f t="shared" si="8"/>
        <v>Average</v>
      </c>
    </row>
    <row r="542" spans="1:17" customFormat="1" hidden="1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s="1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  <c r="Q542" t="str">
        <f t="shared" si="8"/>
        <v>GOOD</v>
      </c>
    </row>
    <row r="543" spans="1:17" customFormat="1" hidden="1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s="1" t="s">
        <v>63</v>
      </c>
      <c r="J543">
        <v>4.5</v>
      </c>
      <c r="K543" t="s">
        <v>37</v>
      </c>
      <c r="L543">
        <v>0.68</v>
      </c>
      <c r="M543" t="s">
        <v>53</v>
      </c>
      <c r="N543" t="s">
        <v>38</v>
      </c>
      <c r="O543">
        <v>3</v>
      </c>
      <c r="P543">
        <v>2</v>
      </c>
      <c r="Q543" t="str">
        <f t="shared" si="8"/>
        <v>GOOD</v>
      </c>
    </row>
    <row r="544" spans="1:17" customFormat="1" hidden="1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s="1" t="s">
        <v>52</v>
      </c>
      <c r="J544">
        <v>0</v>
      </c>
      <c r="K544">
        <v>0</v>
      </c>
      <c r="L544">
        <v>0.87</v>
      </c>
      <c r="M544" t="s">
        <v>74</v>
      </c>
      <c r="N544" t="s">
        <v>67</v>
      </c>
      <c r="O544">
        <v>5</v>
      </c>
      <c r="P544">
        <v>3</v>
      </c>
      <c r="Q544" t="str">
        <f t="shared" si="8"/>
        <v>Average</v>
      </c>
    </row>
    <row r="545" spans="1:17" x14ac:dyDescent="0.25">
      <c r="A545" s="3" t="s">
        <v>1179</v>
      </c>
      <c r="B545" s="3" t="s">
        <v>1180</v>
      </c>
      <c r="C545" s="3" t="s">
        <v>70</v>
      </c>
      <c r="D545" s="3">
        <v>45</v>
      </c>
      <c r="E545" s="3" t="s">
        <v>190</v>
      </c>
      <c r="F545" s="3" t="s">
        <v>83</v>
      </c>
      <c r="G545" s="3" t="s">
        <v>89</v>
      </c>
      <c r="H545" s="3">
        <v>19</v>
      </c>
      <c r="I545" s="4">
        <v>75</v>
      </c>
      <c r="J545" s="3">
        <v>0</v>
      </c>
      <c r="K545" s="3" t="s">
        <v>170</v>
      </c>
      <c r="L545" s="3">
        <v>0.72</v>
      </c>
      <c r="M545" s="3" t="s">
        <v>53</v>
      </c>
      <c r="N545" s="3" t="s">
        <v>23</v>
      </c>
      <c r="O545" s="3">
        <v>14</v>
      </c>
      <c r="P545" s="3">
        <v>20</v>
      </c>
      <c r="Q545" s="3" t="str">
        <f t="shared" si="8"/>
        <v>Average</v>
      </c>
    </row>
    <row r="546" spans="1:17" x14ac:dyDescent="0.25">
      <c r="A546" s="3" t="s">
        <v>1181</v>
      </c>
      <c r="B546" s="3" t="s">
        <v>1182</v>
      </c>
      <c r="C546" s="3" t="s">
        <v>88</v>
      </c>
      <c r="D546" s="3">
        <v>22</v>
      </c>
      <c r="E546" s="3" t="s">
        <v>27</v>
      </c>
      <c r="F546" s="3" t="s">
        <v>28</v>
      </c>
      <c r="G546" s="3" t="s">
        <v>59</v>
      </c>
      <c r="H546" s="3">
        <v>2</v>
      </c>
      <c r="I546" s="4">
        <v>40</v>
      </c>
      <c r="J546" s="3">
        <v>1.1000000000000001</v>
      </c>
      <c r="K546" s="3" t="s">
        <v>170</v>
      </c>
      <c r="L546" s="3">
        <v>0.76</v>
      </c>
      <c r="M546" s="3" t="s">
        <v>79</v>
      </c>
      <c r="N546" s="3" t="s">
        <v>31</v>
      </c>
      <c r="O546" s="3">
        <v>4</v>
      </c>
      <c r="P546" s="3">
        <v>1</v>
      </c>
      <c r="Q546" s="3" t="str">
        <f t="shared" si="8"/>
        <v>Average</v>
      </c>
    </row>
    <row r="547" spans="1:17" x14ac:dyDescent="0.25">
      <c r="A547" s="3" t="s">
        <v>1183</v>
      </c>
      <c r="B547" s="3" t="s">
        <v>1184</v>
      </c>
      <c r="C547" s="3" t="s">
        <v>18</v>
      </c>
      <c r="D547" s="3">
        <v>20</v>
      </c>
      <c r="E547" s="3" t="s">
        <v>71</v>
      </c>
      <c r="F547" s="3" t="s">
        <v>72</v>
      </c>
      <c r="G547" s="3" t="s">
        <v>29</v>
      </c>
      <c r="H547" s="3">
        <v>0</v>
      </c>
      <c r="I547" s="4">
        <v>100</v>
      </c>
      <c r="J547" s="3">
        <v>0</v>
      </c>
      <c r="K547" s="3">
        <v>0</v>
      </c>
      <c r="L547" s="3">
        <v>63</v>
      </c>
      <c r="M547" s="3" t="s">
        <v>22</v>
      </c>
      <c r="N547" s="3" t="s">
        <v>67</v>
      </c>
      <c r="O547" s="3">
        <v>1</v>
      </c>
      <c r="P547" s="3">
        <v>3</v>
      </c>
      <c r="Q547" s="3" t="str">
        <f t="shared" si="8"/>
        <v>Average</v>
      </c>
    </row>
    <row r="548" spans="1:17" x14ac:dyDescent="0.25">
      <c r="A548" s="3" t="s">
        <v>1185</v>
      </c>
      <c r="B548" s="3" t="s">
        <v>1186</v>
      </c>
      <c r="C548" s="3" t="s">
        <v>26</v>
      </c>
      <c r="D548" s="3">
        <v>20</v>
      </c>
      <c r="E548" s="3" t="s">
        <v>139</v>
      </c>
      <c r="F548" s="3" t="s">
        <v>28</v>
      </c>
      <c r="G548" s="3" t="s">
        <v>59</v>
      </c>
      <c r="H548" s="3">
        <v>2</v>
      </c>
      <c r="I548" s="4">
        <v>40</v>
      </c>
      <c r="K548" s="3">
        <v>1</v>
      </c>
      <c r="L548" s="3">
        <v>0.91</v>
      </c>
      <c r="M548" s="3" t="s">
        <v>79</v>
      </c>
      <c r="N548" s="3" t="s">
        <v>38</v>
      </c>
      <c r="O548" s="3">
        <v>1</v>
      </c>
      <c r="P548" s="3">
        <v>1</v>
      </c>
      <c r="Q548" s="3" t="str">
        <f t="shared" si="8"/>
        <v>Average</v>
      </c>
    </row>
    <row r="549" spans="1:17" x14ac:dyDescent="0.25">
      <c r="A549" s="3" t="s">
        <v>1187</v>
      </c>
      <c r="B549" s="3" t="s">
        <v>1188</v>
      </c>
      <c r="C549" s="3" t="s">
        <v>103</v>
      </c>
      <c r="D549" s="3">
        <v>21</v>
      </c>
      <c r="E549" s="3" t="s">
        <v>77</v>
      </c>
      <c r="F549" s="3" t="s">
        <v>28</v>
      </c>
      <c r="G549" s="3" t="s">
        <v>51</v>
      </c>
      <c r="H549" s="3">
        <v>0</v>
      </c>
      <c r="I549" s="4">
        <v>100</v>
      </c>
      <c r="K549" s="3">
        <v>0</v>
      </c>
      <c r="L549" s="3">
        <v>0.73</v>
      </c>
      <c r="M549" s="3" t="s">
        <v>79</v>
      </c>
      <c r="N549" s="3" t="s">
        <v>23</v>
      </c>
      <c r="O549" s="3">
        <v>1</v>
      </c>
      <c r="P549" s="3">
        <v>1</v>
      </c>
      <c r="Q549" s="3" t="str">
        <f t="shared" si="8"/>
        <v>Average</v>
      </c>
    </row>
    <row r="550" spans="1:17" x14ac:dyDescent="0.25">
      <c r="A550" s="3" t="s">
        <v>1189</v>
      </c>
      <c r="B550" s="3" t="s">
        <v>1190</v>
      </c>
      <c r="C550" s="3" t="s">
        <v>108</v>
      </c>
      <c r="D550" s="3">
        <v>22</v>
      </c>
      <c r="E550" s="3" t="s">
        <v>49</v>
      </c>
      <c r="F550" s="3" t="s">
        <v>50</v>
      </c>
      <c r="G550" s="3" t="s">
        <v>89</v>
      </c>
      <c r="H550" s="3">
        <v>1</v>
      </c>
      <c r="I550" s="4">
        <v>40</v>
      </c>
      <c r="J550" s="3">
        <v>0</v>
      </c>
      <c r="K550" s="3">
        <v>0</v>
      </c>
      <c r="L550" s="3">
        <v>0.63</v>
      </c>
      <c r="M550" s="3" t="s">
        <v>22</v>
      </c>
      <c r="N550" s="3" t="s">
        <v>67</v>
      </c>
      <c r="O550" s="3">
        <v>5</v>
      </c>
      <c r="P550" s="3">
        <v>1</v>
      </c>
      <c r="Q550" s="3" t="str">
        <f t="shared" si="8"/>
        <v>Average</v>
      </c>
    </row>
    <row r="551" spans="1:17" customFormat="1" hidden="1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s="1" t="s">
        <v>325</v>
      </c>
      <c r="K551">
        <v>1</v>
      </c>
      <c r="L551">
        <v>0.79</v>
      </c>
      <c r="M551" t="s">
        <v>79</v>
      </c>
      <c r="N551" t="s">
        <v>38</v>
      </c>
      <c r="O551">
        <v>2</v>
      </c>
      <c r="P551">
        <v>1</v>
      </c>
      <c r="Q551" t="str">
        <f t="shared" si="8"/>
        <v>Average</v>
      </c>
    </row>
    <row r="552" spans="1:17" x14ac:dyDescent="0.25">
      <c r="A552" s="3" t="s">
        <v>1193</v>
      </c>
      <c r="B552" s="3" t="s">
        <v>1194</v>
      </c>
      <c r="C552" s="3" t="s">
        <v>41</v>
      </c>
      <c r="D552" s="3">
        <v>59</v>
      </c>
      <c r="E552" s="3" t="s">
        <v>82</v>
      </c>
      <c r="F552" s="3" t="s">
        <v>83</v>
      </c>
      <c r="G552" s="3" t="s">
        <v>51</v>
      </c>
      <c r="I552" s="4">
        <v>20</v>
      </c>
      <c r="J552" s="3">
        <v>4.0999999999999996</v>
      </c>
      <c r="K552" s="3">
        <v>0</v>
      </c>
      <c r="L552" s="3">
        <v>75</v>
      </c>
      <c r="M552" s="3" t="s">
        <v>79</v>
      </c>
      <c r="N552" s="3" t="s">
        <v>23</v>
      </c>
      <c r="O552" s="3">
        <v>2</v>
      </c>
      <c r="P552" s="3">
        <v>2</v>
      </c>
      <c r="Q552" s="3" t="str">
        <f t="shared" si="8"/>
        <v>GOOD</v>
      </c>
    </row>
    <row r="553" spans="1:17" customFormat="1" hidden="1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I553" s="1"/>
      <c r="J553">
        <v>0</v>
      </c>
      <c r="K553">
        <v>0</v>
      </c>
      <c r="L553">
        <v>0.7</v>
      </c>
      <c r="M553" t="s">
        <v>53</v>
      </c>
      <c r="N553" t="s">
        <v>38</v>
      </c>
      <c r="O553">
        <v>1</v>
      </c>
      <c r="P553">
        <v>2</v>
      </c>
      <c r="Q553" t="str">
        <f t="shared" si="8"/>
        <v>Average</v>
      </c>
    </row>
    <row r="554" spans="1:17" customFormat="1" hidden="1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s="1" t="s">
        <v>240</v>
      </c>
      <c r="J554">
        <v>1.2</v>
      </c>
      <c r="L554">
        <v>0.87</v>
      </c>
      <c r="M554" t="s">
        <v>53</v>
      </c>
      <c r="N554" t="s">
        <v>23</v>
      </c>
      <c r="O554">
        <v>1</v>
      </c>
      <c r="P554">
        <v>1</v>
      </c>
      <c r="Q554" t="str">
        <f t="shared" si="8"/>
        <v>Average</v>
      </c>
    </row>
    <row r="555" spans="1:17" x14ac:dyDescent="0.25">
      <c r="A555" s="3" t="s">
        <v>1199</v>
      </c>
      <c r="B555" s="3" t="s">
        <v>1200</v>
      </c>
      <c r="C555" s="3" t="s">
        <v>103</v>
      </c>
      <c r="D555" s="3">
        <v>57</v>
      </c>
      <c r="E555" s="3" t="s">
        <v>19</v>
      </c>
      <c r="F555" s="3" t="s">
        <v>20</v>
      </c>
      <c r="G555" s="3" t="s">
        <v>21</v>
      </c>
      <c r="H555" s="3">
        <v>7</v>
      </c>
      <c r="I555" s="4">
        <v>30</v>
      </c>
      <c r="J555" s="3">
        <v>1.6</v>
      </c>
      <c r="K555" s="3" t="s">
        <v>170</v>
      </c>
      <c r="M555" s="3" t="s">
        <v>22</v>
      </c>
      <c r="N555" s="3" t="s">
        <v>31</v>
      </c>
      <c r="O555" s="3">
        <v>13</v>
      </c>
      <c r="P555" s="3">
        <v>5</v>
      </c>
      <c r="Q555" s="3" t="str">
        <f t="shared" si="8"/>
        <v>Average</v>
      </c>
    </row>
    <row r="556" spans="1:17" x14ac:dyDescent="0.25">
      <c r="A556" s="3" t="s">
        <v>1201</v>
      </c>
      <c r="B556" s="3" t="s">
        <v>1202</v>
      </c>
      <c r="C556" s="3" t="s">
        <v>70</v>
      </c>
      <c r="D556" s="3">
        <v>47</v>
      </c>
      <c r="E556" s="3" t="s">
        <v>71</v>
      </c>
      <c r="F556" s="3" t="s">
        <v>72</v>
      </c>
      <c r="G556" s="3" t="s">
        <v>100</v>
      </c>
      <c r="H556" s="3">
        <v>1</v>
      </c>
      <c r="I556" s="4">
        <v>50</v>
      </c>
      <c r="J556" s="3">
        <v>3.9</v>
      </c>
      <c r="K556" s="3" t="s">
        <v>85</v>
      </c>
      <c r="L556" s="3">
        <v>0.88</v>
      </c>
      <c r="M556" s="3" t="s">
        <v>53</v>
      </c>
      <c r="N556" s="3" t="s">
        <v>67</v>
      </c>
      <c r="O556" s="3">
        <v>5</v>
      </c>
      <c r="P556" s="3">
        <v>3</v>
      </c>
      <c r="Q556" s="3" t="str">
        <f t="shared" si="8"/>
        <v>GOOD</v>
      </c>
    </row>
    <row r="557" spans="1:17" x14ac:dyDescent="0.25">
      <c r="A557" s="3" t="s">
        <v>1203</v>
      </c>
      <c r="B557" s="3" t="s">
        <v>1204</v>
      </c>
      <c r="C557" s="3" t="s">
        <v>34</v>
      </c>
      <c r="D557" s="3">
        <v>48</v>
      </c>
      <c r="E557" s="3" t="s">
        <v>123</v>
      </c>
      <c r="F557" s="3" t="s">
        <v>124</v>
      </c>
      <c r="G557" s="3" t="s">
        <v>89</v>
      </c>
      <c r="H557" s="3">
        <v>21</v>
      </c>
      <c r="I557" s="4">
        <v>40</v>
      </c>
      <c r="J557" s="3">
        <v>0</v>
      </c>
      <c r="K557" s="3">
        <v>1</v>
      </c>
      <c r="M557" s="3" t="s">
        <v>53</v>
      </c>
      <c r="N557" s="3" t="s">
        <v>38</v>
      </c>
      <c r="O557" s="3">
        <v>15</v>
      </c>
      <c r="P557" s="3">
        <v>11</v>
      </c>
      <c r="Q557" s="3" t="str">
        <f t="shared" si="8"/>
        <v>Average</v>
      </c>
    </row>
    <row r="558" spans="1:17" customFormat="1" hidden="1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s="1" t="s">
        <v>325</v>
      </c>
      <c r="J558">
        <v>4.7</v>
      </c>
      <c r="K558" t="b">
        <v>0</v>
      </c>
      <c r="L558">
        <v>0.93</v>
      </c>
      <c r="M558" t="s">
        <v>79</v>
      </c>
      <c r="N558" t="s">
        <v>23</v>
      </c>
      <c r="O558">
        <v>5</v>
      </c>
      <c r="P558">
        <v>3</v>
      </c>
      <c r="Q558" t="str">
        <f t="shared" si="8"/>
        <v>GOOD</v>
      </c>
    </row>
    <row r="559" spans="1:17" customFormat="1" hidden="1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I559" s="1"/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  <c r="Q559" t="str">
        <f t="shared" si="8"/>
        <v>GOOD</v>
      </c>
    </row>
    <row r="560" spans="1:17" x14ac:dyDescent="0.25">
      <c r="A560" s="3" t="s">
        <v>1209</v>
      </c>
      <c r="B560" s="3" t="s">
        <v>1210</v>
      </c>
      <c r="C560" s="3" t="s">
        <v>18</v>
      </c>
      <c r="D560" s="3">
        <v>57</v>
      </c>
      <c r="E560" s="3" t="s">
        <v>164</v>
      </c>
      <c r="F560" s="3" t="s">
        <v>165</v>
      </c>
      <c r="G560" s="3" t="s">
        <v>89</v>
      </c>
      <c r="H560" s="3">
        <v>33</v>
      </c>
      <c r="I560" s="4">
        <v>100</v>
      </c>
      <c r="J560" s="3">
        <v>3.5</v>
      </c>
      <c r="K560" s="3" t="s">
        <v>170</v>
      </c>
      <c r="L560" s="3">
        <v>0.74</v>
      </c>
      <c r="M560" s="3" t="s">
        <v>53</v>
      </c>
      <c r="N560" s="3" t="s">
        <v>38</v>
      </c>
      <c r="O560" s="3">
        <v>19</v>
      </c>
      <c r="P560" s="3">
        <v>17</v>
      </c>
      <c r="Q560" s="3" t="str">
        <f t="shared" si="8"/>
        <v>GOOD</v>
      </c>
    </row>
    <row r="561" spans="1:17" customFormat="1" hidden="1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s="1" t="s">
        <v>60</v>
      </c>
      <c r="J561">
        <v>4</v>
      </c>
      <c r="L561">
        <v>0.7</v>
      </c>
      <c r="M561" t="s">
        <v>74</v>
      </c>
      <c r="N561" t="s">
        <v>67</v>
      </c>
      <c r="O561">
        <v>15</v>
      </c>
      <c r="P561">
        <v>15</v>
      </c>
      <c r="Q561" t="str">
        <f t="shared" si="8"/>
        <v>GOOD</v>
      </c>
    </row>
    <row r="562" spans="1:17" x14ac:dyDescent="0.25">
      <c r="A562" s="3" t="s">
        <v>1213</v>
      </c>
      <c r="B562" s="3" t="s">
        <v>1214</v>
      </c>
      <c r="C562" s="3" t="s">
        <v>46</v>
      </c>
      <c r="D562" s="3">
        <v>48</v>
      </c>
      <c r="E562" s="3" t="s">
        <v>150</v>
      </c>
      <c r="F562" s="3" t="s">
        <v>151</v>
      </c>
      <c r="G562" s="3" t="s">
        <v>36</v>
      </c>
      <c r="H562" s="3">
        <v>21</v>
      </c>
      <c r="I562" s="4">
        <v>30</v>
      </c>
      <c r="J562" s="3">
        <v>1.6</v>
      </c>
      <c r="K562" s="3" t="s">
        <v>85</v>
      </c>
      <c r="L562" s="3">
        <v>0.67</v>
      </c>
      <c r="M562" s="3" t="s">
        <v>53</v>
      </c>
      <c r="N562" s="3" t="s">
        <v>31</v>
      </c>
      <c r="O562" s="3">
        <v>15</v>
      </c>
      <c r="P562" s="3">
        <v>5</v>
      </c>
      <c r="Q562" s="3" t="str">
        <f t="shared" si="8"/>
        <v>Average</v>
      </c>
    </row>
    <row r="563" spans="1:17" x14ac:dyDescent="0.25">
      <c r="A563" s="3" t="s">
        <v>1215</v>
      </c>
      <c r="B563" s="3" t="s">
        <v>1216</v>
      </c>
      <c r="C563" s="3" t="s">
        <v>88</v>
      </c>
      <c r="D563" s="3">
        <v>24</v>
      </c>
      <c r="E563" s="3" t="s">
        <v>146</v>
      </c>
      <c r="F563" s="3" t="s">
        <v>147</v>
      </c>
      <c r="G563" s="3" t="s">
        <v>89</v>
      </c>
      <c r="H563" s="3">
        <v>5</v>
      </c>
      <c r="I563" s="4">
        <v>40</v>
      </c>
      <c r="J563" s="3">
        <v>3</v>
      </c>
      <c r="K563" s="3" t="s">
        <v>170</v>
      </c>
      <c r="L563" s="3">
        <v>0.86</v>
      </c>
      <c r="M563" s="3" t="s">
        <v>53</v>
      </c>
      <c r="N563" s="3" t="s">
        <v>38</v>
      </c>
      <c r="O563" s="3">
        <v>1</v>
      </c>
      <c r="P563" s="3">
        <v>1</v>
      </c>
      <c r="Q563" s="3" t="str">
        <f t="shared" si="8"/>
        <v>Average</v>
      </c>
    </row>
    <row r="564" spans="1:17" x14ac:dyDescent="0.25">
      <c r="A564" s="3" t="s">
        <v>1217</v>
      </c>
      <c r="B564" s="3" t="s">
        <v>1218</v>
      </c>
      <c r="C564" s="3" t="s">
        <v>26</v>
      </c>
      <c r="D564" s="3">
        <v>33</v>
      </c>
      <c r="E564" s="3" t="s">
        <v>190</v>
      </c>
      <c r="F564" s="3" t="s">
        <v>83</v>
      </c>
      <c r="G564" s="3" t="s">
        <v>100</v>
      </c>
      <c r="H564" s="3">
        <v>11</v>
      </c>
      <c r="I564" s="4">
        <v>50</v>
      </c>
      <c r="J564" s="3">
        <v>5</v>
      </c>
      <c r="K564" s="3" t="s">
        <v>78</v>
      </c>
      <c r="L564" s="3">
        <v>0.69</v>
      </c>
      <c r="M564" s="3" t="s">
        <v>22</v>
      </c>
      <c r="N564" s="3" t="s">
        <v>23</v>
      </c>
      <c r="O564" s="3">
        <v>8</v>
      </c>
      <c r="P564" s="3">
        <v>9</v>
      </c>
      <c r="Q564" s="3" t="str">
        <f t="shared" si="8"/>
        <v>GOOD</v>
      </c>
    </row>
    <row r="565" spans="1:17" x14ac:dyDescent="0.25">
      <c r="A565" s="3" t="s">
        <v>1219</v>
      </c>
      <c r="B565" s="3" t="s">
        <v>1220</v>
      </c>
      <c r="C565" s="3" t="s">
        <v>26</v>
      </c>
      <c r="D565" s="3">
        <v>20</v>
      </c>
      <c r="E565" s="3" t="s">
        <v>71</v>
      </c>
      <c r="F565" s="3" t="s">
        <v>72</v>
      </c>
      <c r="G565" s="3" t="s">
        <v>36</v>
      </c>
      <c r="H565" s="3">
        <v>0</v>
      </c>
      <c r="I565" s="4">
        <v>30</v>
      </c>
      <c r="J565" s="3">
        <v>4.8</v>
      </c>
      <c r="K565" s="3" t="s">
        <v>78</v>
      </c>
      <c r="L565" s="3">
        <v>0.68</v>
      </c>
      <c r="M565" s="3" t="s">
        <v>22</v>
      </c>
      <c r="N565" s="3" t="s">
        <v>23</v>
      </c>
      <c r="O565" s="3">
        <v>5</v>
      </c>
      <c r="P565" s="3">
        <v>3</v>
      </c>
      <c r="Q565" s="3" t="str">
        <f t="shared" si="8"/>
        <v>GOOD</v>
      </c>
    </row>
    <row r="566" spans="1:17" customFormat="1" hidden="1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s="1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  <c r="Q566" t="str">
        <f t="shared" si="8"/>
        <v>Average</v>
      </c>
    </row>
    <row r="567" spans="1:17" customFormat="1" hidden="1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I567" s="1"/>
      <c r="J567">
        <v>2.9</v>
      </c>
      <c r="K567">
        <v>0</v>
      </c>
      <c r="L567">
        <v>0.61</v>
      </c>
      <c r="M567" t="s">
        <v>74</v>
      </c>
      <c r="N567" t="s">
        <v>23</v>
      </c>
      <c r="O567">
        <v>14</v>
      </c>
      <c r="P567">
        <v>9</v>
      </c>
      <c r="Q567" t="str">
        <f t="shared" si="8"/>
        <v>Average</v>
      </c>
    </row>
    <row r="568" spans="1:17" customFormat="1" hidden="1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I568" s="1"/>
      <c r="J568">
        <v>3</v>
      </c>
      <c r="K568" t="b">
        <v>1</v>
      </c>
      <c r="L568">
        <v>0.96</v>
      </c>
      <c r="M568" t="s">
        <v>79</v>
      </c>
      <c r="N568" t="s">
        <v>31</v>
      </c>
      <c r="O568">
        <v>1</v>
      </c>
      <c r="P568">
        <v>2</v>
      </c>
      <c r="Q568" t="str">
        <f t="shared" si="8"/>
        <v>Average</v>
      </c>
    </row>
    <row r="569" spans="1:17" x14ac:dyDescent="0.25">
      <c r="A569" s="3" t="s">
        <v>1227</v>
      </c>
      <c r="B569" s="3" t="s">
        <v>1228</v>
      </c>
      <c r="C569" s="3" t="s">
        <v>103</v>
      </c>
      <c r="D569" s="3">
        <v>41</v>
      </c>
      <c r="E569" s="3" t="s">
        <v>139</v>
      </c>
      <c r="F569" s="3" t="s">
        <v>28</v>
      </c>
      <c r="G569" s="3" t="s">
        <v>89</v>
      </c>
      <c r="H569" s="3">
        <v>11</v>
      </c>
      <c r="I569" s="4">
        <v>50</v>
      </c>
      <c r="J569" s="3">
        <v>3.5</v>
      </c>
      <c r="K569" s="3">
        <v>1</v>
      </c>
      <c r="L569" s="3">
        <v>0.68</v>
      </c>
      <c r="M569" s="3" t="s">
        <v>53</v>
      </c>
      <c r="N569" s="3" t="s">
        <v>23</v>
      </c>
      <c r="O569" s="3">
        <v>12</v>
      </c>
      <c r="P569" s="3">
        <v>1</v>
      </c>
      <c r="Q569" s="3" t="str">
        <f t="shared" si="8"/>
        <v>GOOD</v>
      </c>
    </row>
    <row r="570" spans="1:17" x14ac:dyDescent="0.25">
      <c r="A570" s="3" t="s">
        <v>1229</v>
      </c>
      <c r="B570" s="3" t="s">
        <v>1230</v>
      </c>
      <c r="C570" s="3" t="s">
        <v>88</v>
      </c>
      <c r="D570" s="3">
        <v>25</v>
      </c>
      <c r="E570" s="3" t="s">
        <v>82</v>
      </c>
      <c r="F570" s="3" t="s">
        <v>83</v>
      </c>
      <c r="G570" s="3" t="s">
        <v>42</v>
      </c>
      <c r="H570" s="3">
        <v>5</v>
      </c>
      <c r="I570" s="4">
        <v>40</v>
      </c>
      <c r="K570" s="3" t="b">
        <v>1</v>
      </c>
      <c r="L570" s="3">
        <v>0.75</v>
      </c>
      <c r="M570" s="3" t="s">
        <v>53</v>
      </c>
      <c r="N570" s="3" t="s">
        <v>67</v>
      </c>
      <c r="O570" s="3">
        <v>4</v>
      </c>
      <c r="P570" s="3">
        <v>1</v>
      </c>
      <c r="Q570" s="3" t="str">
        <f t="shared" si="8"/>
        <v>Average</v>
      </c>
    </row>
    <row r="571" spans="1:17" x14ac:dyDescent="0.25">
      <c r="A571" s="3" t="s">
        <v>1231</v>
      </c>
      <c r="B571" s="3" t="s">
        <v>1232</v>
      </c>
      <c r="C571" s="3" t="s">
        <v>18</v>
      </c>
      <c r="D571" s="3">
        <v>38</v>
      </c>
      <c r="E571" s="3" t="s">
        <v>139</v>
      </c>
      <c r="F571" s="3" t="s">
        <v>28</v>
      </c>
      <c r="G571" s="3" t="s">
        <v>84</v>
      </c>
      <c r="H571" s="3">
        <v>3</v>
      </c>
      <c r="I571" s="4">
        <v>40</v>
      </c>
      <c r="J571" s="3">
        <v>4.7</v>
      </c>
      <c r="K571" s="3">
        <v>0</v>
      </c>
      <c r="L571" s="3">
        <v>0.69</v>
      </c>
      <c r="M571" s="3" t="s">
        <v>53</v>
      </c>
      <c r="N571" s="3" t="s">
        <v>38</v>
      </c>
      <c r="O571" s="3">
        <v>4</v>
      </c>
      <c r="P571" s="3">
        <v>2</v>
      </c>
      <c r="Q571" s="3" t="str">
        <f t="shared" si="8"/>
        <v>GOOD</v>
      </c>
    </row>
    <row r="572" spans="1:17" customFormat="1" hidden="1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I572" s="1"/>
      <c r="J572">
        <v>2.9</v>
      </c>
      <c r="K572" t="s">
        <v>170</v>
      </c>
      <c r="L572">
        <v>0.78</v>
      </c>
      <c r="M572" t="s">
        <v>74</v>
      </c>
      <c r="N572" t="s">
        <v>67</v>
      </c>
      <c r="O572">
        <v>5</v>
      </c>
      <c r="P572">
        <v>2</v>
      </c>
      <c r="Q572" t="str">
        <f t="shared" si="8"/>
        <v>Average</v>
      </c>
    </row>
    <row r="573" spans="1:17" x14ac:dyDescent="0.25">
      <c r="A573" s="3" t="s">
        <v>1235</v>
      </c>
      <c r="B573" s="3" t="s">
        <v>1236</v>
      </c>
      <c r="C573" s="3" t="s">
        <v>41</v>
      </c>
      <c r="D573" s="3">
        <v>54</v>
      </c>
      <c r="E573" s="3" t="s">
        <v>190</v>
      </c>
      <c r="F573" s="3" t="s">
        <v>83</v>
      </c>
      <c r="G573" s="3" t="s">
        <v>51</v>
      </c>
      <c r="H573" s="3">
        <v>1</v>
      </c>
      <c r="I573" s="4">
        <v>75</v>
      </c>
      <c r="J573" s="3">
        <v>4.4000000000000004</v>
      </c>
      <c r="K573" s="3" t="s">
        <v>85</v>
      </c>
      <c r="M573" s="3" t="s">
        <v>22</v>
      </c>
      <c r="N573" s="3" t="s">
        <v>38</v>
      </c>
      <c r="O573" s="3">
        <v>4</v>
      </c>
      <c r="P573" s="3">
        <v>5</v>
      </c>
      <c r="Q573" s="3" t="str">
        <f t="shared" si="8"/>
        <v>GOOD</v>
      </c>
    </row>
    <row r="574" spans="1:17" x14ac:dyDescent="0.25">
      <c r="A574" s="3" t="s">
        <v>1237</v>
      </c>
      <c r="B574" s="3" t="s">
        <v>1238</v>
      </c>
      <c r="C574" s="3" t="s">
        <v>41</v>
      </c>
      <c r="D574" s="3">
        <v>31</v>
      </c>
      <c r="E574" s="3" t="s">
        <v>57</v>
      </c>
      <c r="F574" s="3" t="s">
        <v>58</v>
      </c>
      <c r="G574" s="3" t="s">
        <v>29</v>
      </c>
      <c r="H574" s="3">
        <v>2</v>
      </c>
      <c r="I574" s="4">
        <v>40</v>
      </c>
      <c r="J574" s="3">
        <v>2.2999999999999998</v>
      </c>
      <c r="K574" s="3" t="s">
        <v>37</v>
      </c>
      <c r="L574" s="3">
        <v>0.98</v>
      </c>
      <c r="M574" s="3" t="s">
        <v>79</v>
      </c>
      <c r="N574" s="3" t="s">
        <v>38</v>
      </c>
      <c r="O574" s="3">
        <v>5</v>
      </c>
      <c r="P574" s="3">
        <v>1</v>
      </c>
      <c r="Q574" s="3" t="str">
        <f t="shared" si="8"/>
        <v>Average</v>
      </c>
    </row>
    <row r="575" spans="1:17" customFormat="1" hidden="1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s="1" t="s">
        <v>52</v>
      </c>
      <c r="J575">
        <v>3.7</v>
      </c>
      <c r="L575">
        <v>0.83</v>
      </c>
      <c r="M575" t="s">
        <v>74</v>
      </c>
      <c r="N575" t="s">
        <v>38</v>
      </c>
      <c r="O575">
        <v>4</v>
      </c>
      <c r="P575">
        <v>2</v>
      </c>
      <c r="Q575" t="str">
        <f t="shared" si="8"/>
        <v>GOOD</v>
      </c>
    </row>
    <row r="576" spans="1:17" customFormat="1" hidden="1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I576" s="1"/>
      <c r="J576">
        <v>1.8</v>
      </c>
      <c r="K576">
        <v>1</v>
      </c>
      <c r="L576">
        <v>0.91</v>
      </c>
      <c r="M576" t="s">
        <v>22</v>
      </c>
      <c r="N576" t="s">
        <v>67</v>
      </c>
      <c r="O576">
        <v>8</v>
      </c>
      <c r="P576">
        <v>9</v>
      </c>
      <c r="Q576" t="str">
        <f t="shared" si="8"/>
        <v>Average</v>
      </c>
    </row>
    <row r="577" spans="1:17" x14ac:dyDescent="0.25">
      <c r="A577" s="3" t="s">
        <v>1243</v>
      </c>
      <c r="B577" s="3" t="s">
        <v>1244</v>
      </c>
      <c r="C577" s="3" t="s">
        <v>108</v>
      </c>
      <c r="D577" s="3">
        <v>60</v>
      </c>
      <c r="E577" s="3" t="s">
        <v>150</v>
      </c>
      <c r="F577" s="3" t="s">
        <v>151</v>
      </c>
      <c r="G577" s="3" t="s">
        <v>51</v>
      </c>
      <c r="I577" s="4">
        <v>100</v>
      </c>
      <c r="J577" s="3">
        <v>0</v>
      </c>
      <c r="K577" s="3">
        <v>1</v>
      </c>
      <c r="L577" s="3">
        <v>0.96</v>
      </c>
      <c r="M577" s="3" t="s">
        <v>74</v>
      </c>
      <c r="N577" s="3" t="s">
        <v>38</v>
      </c>
      <c r="O577" s="3">
        <v>5</v>
      </c>
      <c r="P577" s="3">
        <v>1</v>
      </c>
      <c r="Q577" s="3" t="str">
        <f t="shared" si="8"/>
        <v>Average</v>
      </c>
    </row>
    <row r="578" spans="1:17" customFormat="1" hidden="1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s="1" t="s">
        <v>109</v>
      </c>
      <c r="K578">
        <v>1</v>
      </c>
      <c r="L578">
        <v>0.85</v>
      </c>
      <c r="M578" t="s">
        <v>79</v>
      </c>
      <c r="N578" t="s">
        <v>67</v>
      </c>
      <c r="O578">
        <v>3</v>
      </c>
      <c r="P578">
        <v>2</v>
      </c>
      <c r="Q578" t="str">
        <f t="shared" ref="Q578:Q641" si="9">IF(J578&lt;3.5,"Average","GOOD")</f>
        <v>Average</v>
      </c>
    </row>
    <row r="579" spans="1:17" customFormat="1" hidden="1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s="1" t="s">
        <v>120</v>
      </c>
      <c r="J579">
        <v>2.7</v>
      </c>
      <c r="K579" t="b">
        <v>0</v>
      </c>
      <c r="L579">
        <v>0.72</v>
      </c>
      <c r="M579" t="s">
        <v>22</v>
      </c>
      <c r="N579" t="s">
        <v>31</v>
      </c>
      <c r="O579">
        <v>14</v>
      </c>
      <c r="P579">
        <v>2</v>
      </c>
      <c r="Q579" t="str">
        <f t="shared" si="9"/>
        <v>Average</v>
      </c>
    </row>
    <row r="580" spans="1:17" customFormat="1" hidden="1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s="1" t="s">
        <v>132</v>
      </c>
      <c r="J580">
        <v>4.7</v>
      </c>
      <c r="L580">
        <v>0.69</v>
      </c>
      <c r="M580" t="s">
        <v>74</v>
      </c>
      <c r="N580" t="s">
        <v>23</v>
      </c>
      <c r="O580">
        <v>10</v>
      </c>
      <c r="P580">
        <v>4</v>
      </c>
      <c r="Q580" t="str">
        <f t="shared" si="9"/>
        <v>GOOD</v>
      </c>
    </row>
    <row r="581" spans="1:17" customFormat="1" hidden="1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s="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  <c r="Q581" t="str">
        <f t="shared" si="9"/>
        <v>Average</v>
      </c>
    </row>
    <row r="582" spans="1:17" x14ac:dyDescent="0.25">
      <c r="A582" s="3" t="s">
        <v>1253</v>
      </c>
      <c r="B582" s="3" t="s">
        <v>1254</v>
      </c>
      <c r="C582" s="3" t="s">
        <v>41</v>
      </c>
      <c r="D582" s="3">
        <v>40</v>
      </c>
      <c r="E582" s="3" t="s">
        <v>77</v>
      </c>
      <c r="F582" s="3" t="s">
        <v>28</v>
      </c>
      <c r="G582" s="3" t="s">
        <v>29</v>
      </c>
      <c r="H582" s="3">
        <v>20</v>
      </c>
      <c r="I582" s="4">
        <v>20</v>
      </c>
      <c r="J582" s="3">
        <v>2.2999999999999998</v>
      </c>
      <c r="K582" s="3">
        <v>0</v>
      </c>
      <c r="L582" s="3">
        <v>0.92</v>
      </c>
      <c r="M582" s="3" t="s">
        <v>53</v>
      </c>
      <c r="N582" s="3" t="s">
        <v>38</v>
      </c>
      <c r="O582" s="3">
        <v>14</v>
      </c>
      <c r="P582" s="3">
        <v>10</v>
      </c>
      <c r="Q582" s="3" t="str">
        <f t="shared" si="9"/>
        <v>Average</v>
      </c>
    </row>
    <row r="583" spans="1:17" customFormat="1" hidden="1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s="1" t="s">
        <v>325</v>
      </c>
      <c r="J583">
        <v>1.3</v>
      </c>
      <c r="K583" t="s">
        <v>85</v>
      </c>
      <c r="L583">
        <v>0.91</v>
      </c>
      <c r="M583" t="s">
        <v>79</v>
      </c>
      <c r="N583" t="s">
        <v>67</v>
      </c>
      <c r="O583">
        <v>5</v>
      </c>
      <c r="P583">
        <v>1</v>
      </c>
      <c r="Q583" t="str">
        <f t="shared" si="9"/>
        <v>Average</v>
      </c>
    </row>
    <row r="584" spans="1:17" customFormat="1" hidden="1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s="1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  <c r="Q584" t="str">
        <f t="shared" si="9"/>
        <v>Average</v>
      </c>
    </row>
    <row r="585" spans="1:17" x14ac:dyDescent="0.25">
      <c r="A585" s="3" t="s">
        <v>1259</v>
      </c>
      <c r="B585" s="3" t="s">
        <v>1260</v>
      </c>
      <c r="C585" s="3" t="s">
        <v>56</v>
      </c>
      <c r="D585" s="3">
        <v>34</v>
      </c>
      <c r="E585" s="3" t="s">
        <v>104</v>
      </c>
      <c r="F585" s="3" t="s">
        <v>105</v>
      </c>
      <c r="G585" s="3" t="s">
        <v>59</v>
      </c>
      <c r="H585" s="3">
        <v>0</v>
      </c>
      <c r="I585" s="4">
        <v>40</v>
      </c>
      <c r="J585" s="3">
        <v>3.3</v>
      </c>
      <c r="K585" s="3">
        <v>0</v>
      </c>
      <c r="L585" s="3">
        <v>0.98</v>
      </c>
      <c r="M585" s="3" t="s">
        <v>74</v>
      </c>
      <c r="N585" s="3" t="s">
        <v>67</v>
      </c>
      <c r="O585" s="3">
        <v>1</v>
      </c>
      <c r="P585" s="3">
        <v>3</v>
      </c>
      <c r="Q585" s="3" t="str">
        <f t="shared" si="9"/>
        <v>Average</v>
      </c>
    </row>
    <row r="586" spans="1:17" customFormat="1" hidden="1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s="1" t="s">
        <v>325</v>
      </c>
      <c r="J586">
        <v>4.2</v>
      </c>
      <c r="L586">
        <v>0.82</v>
      </c>
      <c r="M586" t="s">
        <v>22</v>
      </c>
      <c r="N586" t="s">
        <v>67</v>
      </c>
      <c r="O586">
        <v>5</v>
      </c>
      <c r="P586">
        <v>2</v>
      </c>
      <c r="Q586" t="str">
        <f t="shared" si="9"/>
        <v>GOOD</v>
      </c>
    </row>
    <row r="587" spans="1:17" customFormat="1" hidden="1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s="1" t="s">
        <v>63</v>
      </c>
      <c r="J587">
        <v>1.3</v>
      </c>
      <c r="K587" t="b">
        <v>1</v>
      </c>
      <c r="L587">
        <v>0.83</v>
      </c>
      <c r="M587" t="s">
        <v>22</v>
      </c>
      <c r="N587" t="s">
        <v>38</v>
      </c>
      <c r="O587">
        <v>10</v>
      </c>
      <c r="P587">
        <v>4</v>
      </c>
      <c r="Q587" t="str">
        <f t="shared" si="9"/>
        <v>Average</v>
      </c>
    </row>
    <row r="588" spans="1:17" customFormat="1" hidden="1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s="1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  <c r="Q588" t="str">
        <f t="shared" si="9"/>
        <v>GOOD</v>
      </c>
    </row>
    <row r="589" spans="1:17" x14ac:dyDescent="0.25">
      <c r="A589" s="3" t="s">
        <v>1267</v>
      </c>
      <c r="B589" s="3" t="s">
        <v>1268</v>
      </c>
      <c r="C589" s="3" t="s">
        <v>56</v>
      </c>
      <c r="D589" s="3">
        <v>32</v>
      </c>
      <c r="E589" s="3" t="s">
        <v>27</v>
      </c>
      <c r="F589" s="3" t="s">
        <v>28</v>
      </c>
      <c r="G589" s="3" t="s">
        <v>100</v>
      </c>
      <c r="H589" s="3">
        <v>1</v>
      </c>
      <c r="I589" s="4">
        <v>100</v>
      </c>
      <c r="J589" s="3">
        <v>3.4</v>
      </c>
      <c r="K589" s="3" t="b">
        <v>1</v>
      </c>
      <c r="M589" s="3" t="s">
        <v>22</v>
      </c>
      <c r="N589" s="3" t="s">
        <v>38</v>
      </c>
      <c r="O589" s="3">
        <v>3</v>
      </c>
      <c r="P589" s="3">
        <v>1</v>
      </c>
      <c r="Q589" s="3" t="str">
        <f t="shared" si="9"/>
        <v>Average</v>
      </c>
    </row>
    <row r="590" spans="1:17" customFormat="1" hidden="1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s="1" t="s">
        <v>240</v>
      </c>
      <c r="J590">
        <v>3.4</v>
      </c>
      <c r="K590">
        <v>1</v>
      </c>
      <c r="L590">
        <v>0.85</v>
      </c>
      <c r="M590" t="s">
        <v>22</v>
      </c>
      <c r="N590" t="s">
        <v>38</v>
      </c>
      <c r="O590">
        <v>5</v>
      </c>
      <c r="P590">
        <v>1</v>
      </c>
      <c r="Q590" t="str">
        <f t="shared" si="9"/>
        <v>Average</v>
      </c>
    </row>
    <row r="591" spans="1:17" customFormat="1" hidden="1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s="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  <c r="Q591" t="str">
        <f t="shared" si="9"/>
        <v>Average</v>
      </c>
    </row>
    <row r="592" spans="1:17" customFormat="1" hidden="1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s="1" t="s">
        <v>325</v>
      </c>
      <c r="J592">
        <v>3.6</v>
      </c>
      <c r="K592" t="s">
        <v>37</v>
      </c>
      <c r="L592">
        <v>0.63</v>
      </c>
      <c r="M592" t="s">
        <v>74</v>
      </c>
      <c r="N592" t="s">
        <v>23</v>
      </c>
      <c r="O592">
        <v>16</v>
      </c>
      <c r="P592">
        <v>6</v>
      </c>
      <c r="Q592" t="str">
        <f t="shared" si="9"/>
        <v>GOOD</v>
      </c>
    </row>
    <row r="593" spans="1:17" customFormat="1" hidden="1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s="1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  <c r="Q593" t="str">
        <f t="shared" si="9"/>
        <v>Average</v>
      </c>
    </row>
    <row r="594" spans="1:17" x14ac:dyDescent="0.25">
      <c r="A594" s="3" t="s">
        <v>1277</v>
      </c>
      <c r="B594" s="3" t="s">
        <v>1278</v>
      </c>
      <c r="C594" s="3" t="s">
        <v>46</v>
      </c>
      <c r="D594" s="3">
        <v>24</v>
      </c>
      <c r="E594" s="3" t="s">
        <v>186</v>
      </c>
      <c r="F594" s="3" t="s">
        <v>187</v>
      </c>
      <c r="G594" s="3" t="s">
        <v>21</v>
      </c>
      <c r="H594" s="3">
        <v>5</v>
      </c>
      <c r="I594" s="4">
        <v>40</v>
      </c>
      <c r="J594" s="3">
        <v>1.8</v>
      </c>
      <c r="K594" s="3">
        <v>1</v>
      </c>
      <c r="L594" s="3">
        <v>0.86</v>
      </c>
      <c r="M594" s="3" t="s">
        <v>53</v>
      </c>
      <c r="N594" s="3" t="s">
        <v>31</v>
      </c>
      <c r="O594" s="3">
        <v>4</v>
      </c>
      <c r="P594" s="3">
        <v>2</v>
      </c>
      <c r="Q594" s="3" t="str">
        <f t="shared" si="9"/>
        <v>Average</v>
      </c>
    </row>
    <row r="595" spans="1:17" customFormat="1" hidden="1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s="1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  <c r="Q595" t="str">
        <f t="shared" si="9"/>
        <v>Average</v>
      </c>
    </row>
    <row r="596" spans="1:17" x14ac:dyDescent="0.25">
      <c r="A596" s="3" t="s">
        <v>1281</v>
      </c>
      <c r="B596" s="3" t="s">
        <v>1282</v>
      </c>
      <c r="C596" s="3" t="s">
        <v>103</v>
      </c>
      <c r="D596" s="3">
        <v>55</v>
      </c>
      <c r="E596" s="3" t="s">
        <v>139</v>
      </c>
      <c r="F596" s="3" t="s">
        <v>28</v>
      </c>
      <c r="G596" s="3" t="s">
        <v>89</v>
      </c>
      <c r="H596" s="3">
        <v>24</v>
      </c>
      <c r="I596" s="4">
        <v>40</v>
      </c>
      <c r="J596" s="3">
        <v>2</v>
      </c>
      <c r="K596" s="3">
        <v>1</v>
      </c>
      <c r="L596" s="3">
        <v>88</v>
      </c>
      <c r="M596" s="3" t="s">
        <v>53</v>
      </c>
      <c r="N596" s="3" t="s">
        <v>23</v>
      </c>
      <c r="O596" s="3">
        <v>15</v>
      </c>
      <c r="P596" s="3">
        <v>3</v>
      </c>
      <c r="Q596" s="3" t="str">
        <f t="shared" si="9"/>
        <v>Average</v>
      </c>
    </row>
    <row r="597" spans="1:17" x14ac:dyDescent="0.25">
      <c r="A597" s="3" t="s">
        <v>1283</v>
      </c>
      <c r="B597" s="3" t="s">
        <v>1284</v>
      </c>
      <c r="C597" s="3" t="s">
        <v>26</v>
      </c>
      <c r="D597" s="3">
        <v>56</v>
      </c>
      <c r="E597" s="3" t="s">
        <v>19</v>
      </c>
      <c r="F597" s="3" t="s">
        <v>20</v>
      </c>
      <c r="G597" s="3" t="s">
        <v>29</v>
      </c>
      <c r="H597" s="3">
        <v>37</v>
      </c>
      <c r="I597" s="4">
        <v>40</v>
      </c>
      <c r="J597" s="3">
        <v>0</v>
      </c>
      <c r="K597" s="3" t="s">
        <v>37</v>
      </c>
      <c r="L597" s="3">
        <v>0.7</v>
      </c>
      <c r="M597" s="3" t="s">
        <v>79</v>
      </c>
      <c r="N597" s="3" t="s">
        <v>31</v>
      </c>
      <c r="O597" s="3">
        <v>11</v>
      </c>
      <c r="P597" s="3">
        <v>9</v>
      </c>
      <c r="Q597" s="3" t="str">
        <f t="shared" si="9"/>
        <v>Average</v>
      </c>
    </row>
    <row r="598" spans="1:17" customFormat="1" hidden="1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s="1" t="s">
        <v>109</v>
      </c>
      <c r="J598">
        <v>1.3</v>
      </c>
      <c r="K598">
        <v>1</v>
      </c>
      <c r="L598">
        <v>0.77</v>
      </c>
      <c r="M598" t="s">
        <v>79</v>
      </c>
      <c r="N598" t="s">
        <v>67</v>
      </c>
      <c r="O598">
        <v>2</v>
      </c>
      <c r="P598">
        <v>4</v>
      </c>
      <c r="Q598" t="str">
        <f t="shared" si="9"/>
        <v>Average</v>
      </c>
    </row>
    <row r="599" spans="1:17" x14ac:dyDescent="0.25">
      <c r="A599" s="3" t="s">
        <v>1287</v>
      </c>
      <c r="B599" s="3" t="s">
        <v>1288</v>
      </c>
      <c r="C599" s="3" t="s">
        <v>103</v>
      </c>
      <c r="D599" s="3">
        <v>48</v>
      </c>
      <c r="E599" s="3" t="s">
        <v>82</v>
      </c>
      <c r="F599" s="3" t="s">
        <v>83</v>
      </c>
      <c r="G599" s="3" t="s">
        <v>42</v>
      </c>
      <c r="H599" s="3">
        <v>18</v>
      </c>
      <c r="I599" s="4">
        <v>75</v>
      </c>
      <c r="J599" s="3">
        <v>0</v>
      </c>
      <c r="K599" s="3">
        <v>0</v>
      </c>
      <c r="L599" s="3">
        <v>0.8</v>
      </c>
      <c r="M599" s="3" t="s">
        <v>74</v>
      </c>
      <c r="N599" s="3" t="s">
        <v>67</v>
      </c>
      <c r="O599" s="3">
        <v>20</v>
      </c>
      <c r="P599" s="3">
        <v>5</v>
      </c>
      <c r="Q599" s="3" t="str">
        <f t="shared" si="9"/>
        <v>Average</v>
      </c>
    </row>
    <row r="600" spans="1:17" customFormat="1" hidden="1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s="1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  <c r="Q600" t="str">
        <f t="shared" si="9"/>
        <v>GOOD</v>
      </c>
    </row>
    <row r="601" spans="1:17" customFormat="1" hidden="1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I601" s="1"/>
      <c r="J601">
        <v>1.3</v>
      </c>
      <c r="L601">
        <v>0.87</v>
      </c>
      <c r="M601" t="s">
        <v>53</v>
      </c>
      <c r="N601" t="s">
        <v>31</v>
      </c>
      <c r="O601">
        <v>12</v>
      </c>
      <c r="P601">
        <v>5</v>
      </c>
      <c r="Q601" t="str">
        <f t="shared" si="9"/>
        <v>Average</v>
      </c>
    </row>
    <row r="602" spans="1:17" x14ac:dyDescent="0.25">
      <c r="A602" s="3" t="s">
        <v>1293</v>
      </c>
      <c r="B602" s="3" t="s">
        <v>1294</v>
      </c>
      <c r="C602" s="3" t="s">
        <v>88</v>
      </c>
      <c r="D602" s="3">
        <v>28</v>
      </c>
      <c r="E602" s="3" t="s">
        <v>139</v>
      </c>
      <c r="F602" s="3" t="s">
        <v>28</v>
      </c>
      <c r="G602" s="3" t="s">
        <v>21</v>
      </c>
      <c r="H602" s="3">
        <v>1</v>
      </c>
      <c r="I602" s="4">
        <v>75</v>
      </c>
      <c r="J602" s="3">
        <v>2.7</v>
      </c>
      <c r="K602" s="3" t="b">
        <v>1</v>
      </c>
      <c r="L602" s="3">
        <v>0.93</v>
      </c>
      <c r="M602" s="3" t="s">
        <v>79</v>
      </c>
      <c r="N602" s="3" t="s">
        <v>23</v>
      </c>
      <c r="O602" s="3">
        <v>1</v>
      </c>
      <c r="P602" s="3">
        <v>2</v>
      </c>
      <c r="Q602" s="3" t="str">
        <f t="shared" si="9"/>
        <v>Average</v>
      </c>
    </row>
    <row r="603" spans="1:17" customFormat="1" hidden="1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s="1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  <c r="Q603" t="str">
        <f t="shared" si="9"/>
        <v>Average</v>
      </c>
    </row>
    <row r="604" spans="1:17" x14ac:dyDescent="0.25">
      <c r="A604" s="3" t="s">
        <v>1297</v>
      </c>
      <c r="B604" s="3" t="s">
        <v>1298</v>
      </c>
      <c r="C604" s="3" t="s">
        <v>34</v>
      </c>
      <c r="D604" s="3">
        <v>34</v>
      </c>
      <c r="E604" s="3" t="s">
        <v>123</v>
      </c>
      <c r="F604" s="3" t="s">
        <v>124</v>
      </c>
      <c r="G604" s="3" t="s">
        <v>21</v>
      </c>
      <c r="H604" s="3">
        <v>15</v>
      </c>
      <c r="I604" s="4">
        <v>20</v>
      </c>
      <c r="J604" s="3">
        <v>0</v>
      </c>
      <c r="K604" s="3">
        <v>0</v>
      </c>
      <c r="L604" s="3">
        <v>1</v>
      </c>
      <c r="M604" s="3" t="s">
        <v>53</v>
      </c>
      <c r="N604" s="3" t="s">
        <v>67</v>
      </c>
      <c r="O604" s="3">
        <v>13</v>
      </c>
      <c r="P604" s="3">
        <v>3</v>
      </c>
      <c r="Q604" s="3" t="str">
        <f t="shared" si="9"/>
        <v>Average</v>
      </c>
    </row>
    <row r="605" spans="1:17" customFormat="1" hidden="1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s="1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  <c r="Q605" t="str">
        <f t="shared" si="9"/>
        <v>Average</v>
      </c>
    </row>
    <row r="606" spans="1:17" x14ac:dyDescent="0.25">
      <c r="A606" s="3" t="s">
        <v>1301</v>
      </c>
      <c r="B606" s="3" t="s">
        <v>1302</v>
      </c>
      <c r="C606" s="3" t="s">
        <v>26</v>
      </c>
      <c r="D606" s="3">
        <v>51</v>
      </c>
      <c r="E606" s="3" t="s">
        <v>123</v>
      </c>
      <c r="F606" s="3" t="s">
        <v>124</v>
      </c>
      <c r="G606" s="3" t="s">
        <v>42</v>
      </c>
      <c r="H606" s="3">
        <v>17</v>
      </c>
      <c r="I606" s="4">
        <v>100</v>
      </c>
      <c r="J606" s="3">
        <v>3</v>
      </c>
      <c r="K606" s="3" t="b">
        <v>0</v>
      </c>
      <c r="L606" s="3">
        <v>0.79</v>
      </c>
      <c r="M606" s="3" t="s">
        <v>74</v>
      </c>
      <c r="N606" s="3" t="s">
        <v>31</v>
      </c>
      <c r="O606" s="3">
        <v>13</v>
      </c>
      <c r="P606" s="3">
        <v>1</v>
      </c>
      <c r="Q606" s="3" t="str">
        <f t="shared" si="9"/>
        <v>Average</v>
      </c>
    </row>
    <row r="607" spans="1:17" x14ac:dyDescent="0.25">
      <c r="A607" s="3" t="s">
        <v>1303</v>
      </c>
      <c r="B607" s="3" t="s">
        <v>1304</v>
      </c>
      <c r="C607" s="3" t="s">
        <v>18</v>
      </c>
      <c r="D607" s="3">
        <v>21</v>
      </c>
      <c r="E607" s="3" t="s">
        <v>96</v>
      </c>
      <c r="F607" s="3" t="s">
        <v>97</v>
      </c>
      <c r="G607" s="3" t="s">
        <v>29</v>
      </c>
      <c r="H607" s="3">
        <v>1</v>
      </c>
      <c r="I607" s="4">
        <v>30</v>
      </c>
      <c r="J607" s="3">
        <v>1.2</v>
      </c>
      <c r="L607" s="3">
        <v>0.73</v>
      </c>
      <c r="M607" s="3" t="s">
        <v>22</v>
      </c>
      <c r="N607" s="3" t="s">
        <v>38</v>
      </c>
      <c r="O607" s="3">
        <v>1</v>
      </c>
      <c r="P607" s="3">
        <v>1</v>
      </c>
      <c r="Q607" s="3" t="str">
        <f t="shared" si="9"/>
        <v>Average</v>
      </c>
    </row>
    <row r="608" spans="1:17" customFormat="1" hidden="1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I608" s="1"/>
      <c r="J608">
        <v>1.3</v>
      </c>
      <c r="K608">
        <v>1</v>
      </c>
      <c r="L608">
        <v>0.64</v>
      </c>
      <c r="M608" t="s">
        <v>79</v>
      </c>
      <c r="N608" t="s">
        <v>38</v>
      </c>
      <c r="O608">
        <v>12</v>
      </c>
      <c r="P608">
        <v>18</v>
      </c>
      <c r="Q608" t="str">
        <f t="shared" si="9"/>
        <v>Average</v>
      </c>
    </row>
    <row r="609" spans="1:17" customFormat="1" hidden="1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s="1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  <c r="Q609" t="str">
        <f t="shared" si="9"/>
        <v>Average</v>
      </c>
    </row>
    <row r="610" spans="1:17" customFormat="1" hidden="1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s="1" t="s">
        <v>109</v>
      </c>
      <c r="J610">
        <v>3.8</v>
      </c>
      <c r="K610" t="s">
        <v>37</v>
      </c>
      <c r="L610">
        <v>0.93</v>
      </c>
      <c r="M610" t="s">
        <v>53</v>
      </c>
      <c r="N610" t="s">
        <v>23</v>
      </c>
      <c r="O610">
        <v>10</v>
      </c>
      <c r="P610">
        <v>14</v>
      </c>
      <c r="Q610" t="str">
        <f t="shared" si="9"/>
        <v>GOOD</v>
      </c>
    </row>
    <row r="611" spans="1:17" x14ac:dyDescent="0.25">
      <c r="A611" s="3" t="s">
        <v>1311</v>
      </c>
      <c r="B611" s="3" t="s">
        <v>1312</v>
      </c>
      <c r="C611" s="3" t="s">
        <v>41</v>
      </c>
      <c r="D611" s="3">
        <v>52</v>
      </c>
      <c r="E611" s="3" t="s">
        <v>139</v>
      </c>
      <c r="F611" s="3" t="s">
        <v>28</v>
      </c>
      <c r="G611" s="3" t="s">
        <v>21</v>
      </c>
      <c r="H611" s="3">
        <v>29</v>
      </c>
      <c r="I611" s="4">
        <v>30</v>
      </c>
      <c r="J611" s="3">
        <v>3.8</v>
      </c>
      <c r="K611" s="3">
        <v>0</v>
      </c>
      <c r="L611" s="3">
        <v>0.68</v>
      </c>
      <c r="M611" s="3" t="s">
        <v>79</v>
      </c>
      <c r="N611" s="3" t="s">
        <v>38</v>
      </c>
      <c r="O611" s="3">
        <v>14</v>
      </c>
      <c r="P611" s="3">
        <v>7</v>
      </c>
      <c r="Q611" s="3" t="str">
        <f t="shared" si="9"/>
        <v>GOOD</v>
      </c>
    </row>
    <row r="612" spans="1:17" x14ac:dyDescent="0.25">
      <c r="A612" s="3" t="s">
        <v>1313</v>
      </c>
      <c r="B612" s="3" t="s">
        <v>1314</v>
      </c>
      <c r="C612" s="3" t="s">
        <v>34</v>
      </c>
      <c r="D612" s="3">
        <v>53</v>
      </c>
      <c r="E612" s="3" t="s">
        <v>123</v>
      </c>
      <c r="F612" s="3" t="s">
        <v>124</v>
      </c>
      <c r="G612" s="3" t="s">
        <v>42</v>
      </c>
      <c r="H612" s="3">
        <v>21</v>
      </c>
      <c r="I612" s="4">
        <v>40</v>
      </c>
      <c r="J612" s="3">
        <v>4.7</v>
      </c>
      <c r="K612" s="3">
        <v>1</v>
      </c>
      <c r="L612" s="3">
        <v>0.62</v>
      </c>
      <c r="M612" s="3" t="s">
        <v>74</v>
      </c>
      <c r="N612" s="3" t="s">
        <v>31</v>
      </c>
      <c r="O612" s="3">
        <v>19</v>
      </c>
      <c r="P612" s="3">
        <v>15</v>
      </c>
      <c r="Q612" s="3" t="str">
        <f t="shared" si="9"/>
        <v>GOOD</v>
      </c>
    </row>
    <row r="613" spans="1:17" customFormat="1" hidden="1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s="1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  <c r="Q613" t="str">
        <f t="shared" si="9"/>
        <v>Average</v>
      </c>
    </row>
    <row r="614" spans="1:17" x14ac:dyDescent="0.25">
      <c r="A614" s="3" t="s">
        <v>1317</v>
      </c>
      <c r="B614" s="3" t="s">
        <v>1318</v>
      </c>
      <c r="C614" s="3" t="s">
        <v>70</v>
      </c>
      <c r="D614" s="3">
        <v>51</v>
      </c>
      <c r="E614" s="3" t="s">
        <v>96</v>
      </c>
      <c r="F614" s="3" t="s">
        <v>97</v>
      </c>
      <c r="G614" s="3" t="s">
        <v>36</v>
      </c>
      <c r="H614" s="3">
        <v>5</v>
      </c>
      <c r="I614" s="4">
        <v>50</v>
      </c>
      <c r="J614" s="3">
        <v>4.2</v>
      </c>
      <c r="K614" s="3">
        <v>1</v>
      </c>
      <c r="L614" s="3">
        <v>0.82</v>
      </c>
      <c r="M614" s="3" t="s">
        <v>53</v>
      </c>
      <c r="N614" s="3" t="s">
        <v>23</v>
      </c>
      <c r="O614" s="3">
        <v>4</v>
      </c>
      <c r="P614" s="3">
        <v>2</v>
      </c>
      <c r="Q614" s="3" t="str">
        <f t="shared" si="9"/>
        <v>GOOD</v>
      </c>
    </row>
    <row r="615" spans="1:17" customFormat="1" hidden="1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I615" s="1"/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  <c r="Q615" t="str">
        <f t="shared" si="9"/>
        <v>Average</v>
      </c>
    </row>
    <row r="616" spans="1:17" customFormat="1" hidden="1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s="1" t="s">
        <v>60</v>
      </c>
      <c r="J616">
        <v>0</v>
      </c>
      <c r="L616">
        <v>0.85</v>
      </c>
      <c r="M616" t="s">
        <v>74</v>
      </c>
      <c r="N616" t="s">
        <v>38</v>
      </c>
      <c r="O616">
        <v>20</v>
      </c>
      <c r="P616">
        <v>2</v>
      </c>
      <c r="Q616" t="str">
        <f t="shared" si="9"/>
        <v>Average</v>
      </c>
    </row>
    <row r="617" spans="1:17" customFormat="1" hidden="1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s="1" t="s">
        <v>30</v>
      </c>
      <c r="J617">
        <v>2.4</v>
      </c>
      <c r="K617">
        <v>1</v>
      </c>
      <c r="L617">
        <v>0.78</v>
      </c>
      <c r="M617" t="s">
        <v>22</v>
      </c>
      <c r="N617" t="s">
        <v>23</v>
      </c>
      <c r="O617">
        <v>13</v>
      </c>
      <c r="P617">
        <v>11</v>
      </c>
      <c r="Q617" t="str">
        <f t="shared" si="9"/>
        <v>Average</v>
      </c>
    </row>
    <row r="618" spans="1:17" x14ac:dyDescent="0.25">
      <c r="A618" s="3" t="s">
        <v>1325</v>
      </c>
      <c r="B618" s="3" t="s">
        <v>1326</v>
      </c>
      <c r="C618" s="3" t="s">
        <v>108</v>
      </c>
      <c r="D618" s="3">
        <v>38</v>
      </c>
      <c r="E618" s="3" t="s">
        <v>71</v>
      </c>
      <c r="F618" s="3" t="s">
        <v>72</v>
      </c>
      <c r="G618" s="3" t="s">
        <v>21</v>
      </c>
      <c r="H618" s="3">
        <v>19</v>
      </c>
      <c r="I618" s="4">
        <v>40</v>
      </c>
      <c r="J618" s="3">
        <v>0</v>
      </c>
      <c r="K618" s="3">
        <v>1</v>
      </c>
      <c r="L618" s="3">
        <v>0.86</v>
      </c>
      <c r="M618" s="3" t="s">
        <v>79</v>
      </c>
      <c r="N618" s="3" t="s">
        <v>31</v>
      </c>
      <c r="O618" s="3">
        <v>17</v>
      </c>
      <c r="P618" s="3">
        <v>5</v>
      </c>
      <c r="Q618" s="3" t="str">
        <f t="shared" si="9"/>
        <v>Average</v>
      </c>
    </row>
    <row r="619" spans="1:17" customFormat="1" hidden="1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s="1" t="s">
        <v>63</v>
      </c>
      <c r="K619" t="b">
        <v>0</v>
      </c>
      <c r="L619">
        <v>0.88</v>
      </c>
      <c r="M619" t="s">
        <v>53</v>
      </c>
      <c r="N619" t="s">
        <v>38</v>
      </c>
      <c r="O619">
        <v>12</v>
      </c>
      <c r="P619">
        <v>3</v>
      </c>
      <c r="Q619" t="str">
        <f t="shared" si="9"/>
        <v>Average</v>
      </c>
    </row>
    <row r="620" spans="1:17" x14ac:dyDescent="0.25">
      <c r="A620" s="3" t="s">
        <v>1329</v>
      </c>
      <c r="B620" s="3" t="s">
        <v>1330</v>
      </c>
      <c r="C620" s="3" t="s">
        <v>88</v>
      </c>
      <c r="D620" s="3">
        <v>30</v>
      </c>
      <c r="E620" s="3" t="s">
        <v>164</v>
      </c>
      <c r="F620" s="3" t="s">
        <v>165</v>
      </c>
      <c r="G620" s="3" t="s">
        <v>100</v>
      </c>
      <c r="H620" s="3">
        <v>7</v>
      </c>
      <c r="I620" s="4">
        <v>30</v>
      </c>
      <c r="J620" s="3">
        <v>3.3</v>
      </c>
      <c r="L620" s="3">
        <v>0.68</v>
      </c>
      <c r="M620" s="3" t="s">
        <v>53</v>
      </c>
      <c r="N620" s="3" t="s">
        <v>38</v>
      </c>
      <c r="O620" s="3">
        <v>8</v>
      </c>
      <c r="P620" s="3">
        <v>14</v>
      </c>
      <c r="Q620" s="3" t="str">
        <f t="shared" si="9"/>
        <v>Average</v>
      </c>
    </row>
    <row r="621" spans="1:17" customFormat="1" hidden="1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1" t="s">
        <v>240</v>
      </c>
      <c r="J621">
        <v>1.4</v>
      </c>
      <c r="K621">
        <v>1</v>
      </c>
      <c r="L621">
        <v>0.97</v>
      </c>
      <c r="M621" t="s">
        <v>74</v>
      </c>
      <c r="N621" t="s">
        <v>31</v>
      </c>
      <c r="O621">
        <v>7</v>
      </c>
      <c r="P621">
        <v>4</v>
      </c>
      <c r="Q621" t="str">
        <f t="shared" si="9"/>
        <v>Average</v>
      </c>
    </row>
    <row r="622" spans="1:17" customFormat="1" hidden="1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s="1" t="s">
        <v>181</v>
      </c>
      <c r="J622">
        <v>1.7</v>
      </c>
      <c r="K622" t="s">
        <v>170</v>
      </c>
      <c r="L622">
        <v>0.91</v>
      </c>
      <c r="M622" t="s">
        <v>79</v>
      </c>
      <c r="N622" t="s">
        <v>67</v>
      </c>
      <c r="O622">
        <v>5</v>
      </c>
      <c r="P622">
        <v>1</v>
      </c>
      <c r="Q622" t="str">
        <f t="shared" si="9"/>
        <v>Average</v>
      </c>
    </row>
    <row r="623" spans="1:17" x14ac:dyDescent="0.25">
      <c r="A623" s="3" t="s">
        <v>1335</v>
      </c>
      <c r="B623" s="3" t="s">
        <v>1336</v>
      </c>
      <c r="C623" s="3" t="s">
        <v>103</v>
      </c>
      <c r="D623" s="3">
        <v>57</v>
      </c>
      <c r="E623" s="3" t="s">
        <v>190</v>
      </c>
      <c r="F623" s="3" t="s">
        <v>83</v>
      </c>
      <c r="G623" s="3" t="s">
        <v>125</v>
      </c>
      <c r="H623" s="3">
        <v>37</v>
      </c>
      <c r="I623" s="4">
        <v>30</v>
      </c>
      <c r="J623" s="3">
        <v>4.8</v>
      </c>
      <c r="K623" s="3" t="b">
        <v>0</v>
      </c>
      <c r="M623" s="3" t="s">
        <v>74</v>
      </c>
      <c r="N623" s="3" t="s">
        <v>31</v>
      </c>
      <c r="O623" s="3">
        <v>10</v>
      </c>
      <c r="P623" s="3">
        <v>7</v>
      </c>
      <c r="Q623" s="3" t="str">
        <f t="shared" si="9"/>
        <v>GOOD</v>
      </c>
    </row>
    <row r="624" spans="1:17" customFormat="1" hidden="1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I624" s="1"/>
      <c r="J624">
        <v>4.8</v>
      </c>
      <c r="K624" t="s">
        <v>37</v>
      </c>
      <c r="L624">
        <v>0.97</v>
      </c>
      <c r="M624" t="s">
        <v>79</v>
      </c>
      <c r="N624" t="s">
        <v>38</v>
      </c>
      <c r="O624">
        <v>1</v>
      </c>
      <c r="P624">
        <v>1</v>
      </c>
      <c r="Q624" t="str">
        <f t="shared" si="9"/>
        <v>GOOD</v>
      </c>
    </row>
    <row r="625" spans="1:17" customFormat="1" hidden="1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s="1" t="s">
        <v>120</v>
      </c>
      <c r="J625">
        <v>2</v>
      </c>
      <c r="K625" t="s">
        <v>78</v>
      </c>
      <c r="L625">
        <v>0.64</v>
      </c>
      <c r="M625" t="s">
        <v>79</v>
      </c>
      <c r="N625" t="s">
        <v>31</v>
      </c>
      <c r="O625">
        <v>3</v>
      </c>
      <c r="P625">
        <v>1</v>
      </c>
      <c r="Q625" t="str">
        <f t="shared" si="9"/>
        <v>Average</v>
      </c>
    </row>
    <row r="626" spans="1:17" customFormat="1" hidden="1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s="1" t="s">
        <v>109</v>
      </c>
      <c r="J626">
        <v>2.8</v>
      </c>
      <c r="K626" t="s">
        <v>170</v>
      </c>
      <c r="L626">
        <v>0.87</v>
      </c>
      <c r="M626" t="s">
        <v>79</v>
      </c>
      <c r="N626" t="s">
        <v>23</v>
      </c>
      <c r="O626">
        <v>3</v>
      </c>
      <c r="P626">
        <v>1</v>
      </c>
      <c r="Q626" t="str">
        <f t="shared" si="9"/>
        <v>Average</v>
      </c>
    </row>
    <row r="627" spans="1:17" x14ac:dyDescent="0.25">
      <c r="A627" s="3" t="s">
        <v>1343</v>
      </c>
      <c r="B627" s="3" t="s">
        <v>1344</v>
      </c>
      <c r="C627" s="3" t="s">
        <v>88</v>
      </c>
      <c r="D627" s="3">
        <v>34</v>
      </c>
      <c r="E627" s="3" t="s">
        <v>27</v>
      </c>
      <c r="F627" s="3" t="s">
        <v>28</v>
      </c>
      <c r="G627" s="3" t="s">
        <v>59</v>
      </c>
      <c r="H627" s="3">
        <v>2</v>
      </c>
      <c r="I627" s="4">
        <v>100</v>
      </c>
      <c r="J627" s="3">
        <v>0</v>
      </c>
      <c r="K627" s="3">
        <v>0</v>
      </c>
      <c r="L627" s="3">
        <v>86</v>
      </c>
      <c r="M627" s="3" t="s">
        <v>53</v>
      </c>
      <c r="N627" s="3" t="s">
        <v>31</v>
      </c>
      <c r="O627" s="3">
        <v>5</v>
      </c>
      <c r="P627" s="3">
        <v>1</v>
      </c>
      <c r="Q627" s="3" t="str">
        <f t="shared" si="9"/>
        <v>Average</v>
      </c>
    </row>
    <row r="628" spans="1:17" customFormat="1" hidden="1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1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  <c r="Q628" t="str">
        <f t="shared" si="9"/>
        <v>GOOD</v>
      </c>
    </row>
    <row r="629" spans="1:17" customFormat="1" hidden="1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s="1" t="s">
        <v>120</v>
      </c>
      <c r="J629">
        <v>4.9000000000000004</v>
      </c>
      <c r="K629" t="b">
        <v>0</v>
      </c>
      <c r="L629">
        <v>0.73</v>
      </c>
      <c r="M629" t="s">
        <v>74</v>
      </c>
      <c r="N629" t="s">
        <v>31</v>
      </c>
      <c r="O629">
        <v>3</v>
      </c>
      <c r="P629">
        <v>2</v>
      </c>
      <c r="Q629" t="str">
        <f t="shared" si="9"/>
        <v>GOOD</v>
      </c>
    </row>
    <row r="630" spans="1:17" customFormat="1" hidden="1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s="1" t="s">
        <v>60</v>
      </c>
      <c r="J630">
        <v>2.2999999999999998</v>
      </c>
      <c r="L630">
        <v>0.6</v>
      </c>
      <c r="M630" t="s">
        <v>22</v>
      </c>
      <c r="N630" t="s">
        <v>67</v>
      </c>
      <c r="O630">
        <v>4</v>
      </c>
      <c r="P630">
        <v>1</v>
      </c>
      <c r="Q630" t="str">
        <f t="shared" si="9"/>
        <v>Average</v>
      </c>
    </row>
    <row r="631" spans="1:17" customFormat="1" hidden="1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s="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  <c r="Q631" t="str">
        <f t="shared" si="9"/>
        <v>GOOD</v>
      </c>
    </row>
    <row r="632" spans="1:17" customFormat="1" hidden="1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s="1" t="s">
        <v>181</v>
      </c>
      <c r="J632">
        <v>4.3</v>
      </c>
      <c r="K632">
        <v>0</v>
      </c>
      <c r="L632">
        <v>0.9</v>
      </c>
      <c r="M632" t="s">
        <v>79</v>
      </c>
      <c r="N632" t="s">
        <v>67</v>
      </c>
      <c r="O632">
        <v>1</v>
      </c>
      <c r="P632">
        <v>2</v>
      </c>
      <c r="Q632" t="str">
        <f t="shared" si="9"/>
        <v>GOOD</v>
      </c>
    </row>
    <row r="633" spans="1:17" customFormat="1" hidden="1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s="1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  <c r="Q633" t="str">
        <f t="shared" si="9"/>
        <v>Average</v>
      </c>
    </row>
    <row r="634" spans="1:17" x14ac:dyDescent="0.25">
      <c r="A634" s="3" t="s">
        <v>1357</v>
      </c>
      <c r="B634" s="3" t="s">
        <v>1358</v>
      </c>
      <c r="C634" s="3" t="s">
        <v>56</v>
      </c>
      <c r="D634" s="3">
        <v>24</v>
      </c>
      <c r="E634" s="3" t="s">
        <v>146</v>
      </c>
      <c r="F634" s="3" t="s">
        <v>147</v>
      </c>
      <c r="G634" s="3" t="s">
        <v>29</v>
      </c>
      <c r="H634" s="3">
        <v>0</v>
      </c>
      <c r="I634" s="4">
        <v>100</v>
      </c>
      <c r="K634" s="3" t="s">
        <v>170</v>
      </c>
      <c r="M634" s="3" t="s">
        <v>22</v>
      </c>
      <c r="N634" s="3" t="s">
        <v>67</v>
      </c>
      <c r="O634" s="3">
        <v>5</v>
      </c>
      <c r="P634" s="3">
        <v>1</v>
      </c>
      <c r="Q634" s="3" t="str">
        <f t="shared" si="9"/>
        <v>Average</v>
      </c>
    </row>
    <row r="635" spans="1:17" customFormat="1" hidden="1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I635" s="1"/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  <c r="Q635" t="str">
        <f t="shared" si="9"/>
        <v>Average</v>
      </c>
    </row>
    <row r="636" spans="1:17" x14ac:dyDescent="0.25">
      <c r="A636" s="3" t="s">
        <v>1361</v>
      </c>
      <c r="B636" s="3" t="s">
        <v>1362</v>
      </c>
      <c r="C636" s="3" t="s">
        <v>70</v>
      </c>
      <c r="D636" s="3">
        <v>52</v>
      </c>
      <c r="E636" s="3" t="s">
        <v>186</v>
      </c>
      <c r="F636" s="3" t="s">
        <v>187</v>
      </c>
      <c r="G636" s="3" t="s">
        <v>84</v>
      </c>
      <c r="H636" s="3">
        <v>4</v>
      </c>
      <c r="I636" s="4">
        <v>75</v>
      </c>
      <c r="J636" s="3">
        <v>2.2999999999999998</v>
      </c>
      <c r="K636" s="3">
        <v>1</v>
      </c>
      <c r="L636" s="3">
        <v>0.79</v>
      </c>
      <c r="M636" s="3" t="s">
        <v>74</v>
      </c>
      <c r="N636" s="3" t="s">
        <v>38</v>
      </c>
      <c r="O636" s="3">
        <v>1</v>
      </c>
      <c r="P636" s="3">
        <v>2</v>
      </c>
      <c r="Q636" s="3" t="str">
        <f t="shared" si="9"/>
        <v>Average</v>
      </c>
    </row>
    <row r="637" spans="1:17" x14ac:dyDescent="0.25">
      <c r="A637" s="3" t="s">
        <v>1363</v>
      </c>
      <c r="B637" s="3" t="s">
        <v>1364</v>
      </c>
      <c r="C637" s="3" t="s">
        <v>103</v>
      </c>
      <c r="D637" s="3">
        <v>35</v>
      </c>
      <c r="E637" s="3" t="s">
        <v>201</v>
      </c>
      <c r="F637" s="3" t="s">
        <v>83</v>
      </c>
      <c r="G637" s="3" t="s">
        <v>125</v>
      </c>
      <c r="H637" s="3">
        <v>13</v>
      </c>
      <c r="I637" s="4">
        <v>40</v>
      </c>
      <c r="J637" s="3">
        <v>3.6</v>
      </c>
      <c r="K637" s="3">
        <v>0</v>
      </c>
      <c r="L637" s="3">
        <v>0.83</v>
      </c>
      <c r="M637" s="3" t="s">
        <v>53</v>
      </c>
      <c r="N637" s="3" t="s">
        <v>67</v>
      </c>
      <c r="O637" s="3">
        <v>14</v>
      </c>
      <c r="P637" s="3">
        <v>4</v>
      </c>
      <c r="Q637" s="3" t="str">
        <f t="shared" si="9"/>
        <v>GOOD</v>
      </c>
    </row>
    <row r="638" spans="1:17" customFormat="1" hidden="1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s="1" t="s">
        <v>73</v>
      </c>
      <c r="K638" t="s">
        <v>37</v>
      </c>
      <c r="L638">
        <v>0.64</v>
      </c>
      <c r="M638" t="s">
        <v>53</v>
      </c>
      <c r="N638" t="s">
        <v>23</v>
      </c>
      <c r="O638">
        <v>4</v>
      </c>
      <c r="P638">
        <v>2</v>
      </c>
      <c r="Q638" t="str">
        <f t="shared" si="9"/>
        <v>Average</v>
      </c>
    </row>
    <row r="639" spans="1:17" customFormat="1" hidden="1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s="1" t="s">
        <v>240</v>
      </c>
      <c r="J639">
        <v>1.3</v>
      </c>
      <c r="K639" t="s">
        <v>170</v>
      </c>
      <c r="L639">
        <v>0.8</v>
      </c>
      <c r="M639" t="s">
        <v>22</v>
      </c>
      <c r="N639" t="s">
        <v>67</v>
      </c>
      <c r="O639">
        <v>18</v>
      </c>
      <c r="P639">
        <v>5</v>
      </c>
      <c r="Q639" t="str">
        <f t="shared" si="9"/>
        <v>Average</v>
      </c>
    </row>
    <row r="640" spans="1:17" customFormat="1" hidden="1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s="1" t="s">
        <v>120</v>
      </c>
      <c r="J640">
        <v>1.1000000000000001</v>
      </c>
      <c r="K640" t="b">
        <v>0</v>
      </c>
      <c r="L640">
        <v>0.9</v>
      </c>
      <c r="M640" t="s">
        <v>79</v>
      </c>
      <c r="N640" t="s">
        <v>67</v>
      </c>
      <c r="O640">
        <v>13</v>
      </c>
      <c r="P640">
        <v>6</v>
      </c>
      <c r="Q640" t="str">
        <f t="shared" si="9"/>
        <v>Average</v>
      </c>
    </row>
    <row r="641" spans="1:17" customFormat="1" hidden="1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s="1" t="s">
        <v>73</v>
      </c>
      <c r="J641">
        <v>0</v>
      </c>
      <c r="K641">
        <v>0</v>
      </c>
      <c r="L641">
        <v>0.94</v>
      </c>
      <c r="M641" t="s">
        <v>53</v>
      </c>
      <c r="N641" t="s">
        <v>67</v>
      </c>
      <c r="O641">
        <v>14</v>
      </c>
      <c r="P641">
        <v>8</v>
      </c>
      <c r="Q641" t="str">
        <f t="shared" si="9"/>
        <v>Average</v>
      </c>
    </row>
    <row r="642" spans="1:17" x14ac:dyDescent="0.25">
      <c r="A642" s="3" t="s">
        <v>1373</v>
      </c>
      <c r="B642" s="3" t="s">
        <v>1374</v>
      </c>
      <c r="C642" s="3" t="s">
        <v>70</v>
      </c>
      <c r="D642" s="3">
        <v>41</v>
      </c>
      <c r="E642" s="3" t="s">
        <v>96</v>
      </c>
      <c r="F642" s="3" t="s">
        <v>97</v>
      </c>
      <c r="G642" s="3" t="s">
        <v>51</v>
      </c>
      <c r="H642" s="3">
        <v>7</v>
      </c>
      <c r="I642" s="4">
        <v>40</v>
      </c>
      <c r="J642" s="3">
        <v>1.8</v>
      </c>
      <c r="K642" s="3" t="b">
        <v>0</v>
      </c>
      <c r="L642" s="3">
        <v>0.7</v>
      </c>
      <c r="M642" s="3" t="s">
        <v>79</v>
      </c>
      <c r="N642" s="3" t="s">
        <v>23</v>
      </c>
      <c r="O642" s="3">
        <v>14</v>
      </c>
      <c r="P642" s="3">
        <v>6</v>
      </c>
      <c r="Q642" s="3" t="str">
        <f t="shared" ref="Q642:Q705" si="10">IF(J642&lt;3.5,"Average","GOOD")</f>
        <v>Average</v>
      </c>
    </row>
    <row r="643" spans="1:17" customFormat="1" hidden="1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s="1" t="s">
        <v>325</v>
      </c>
      <c r="K643" t="s">
        <v>78</v>
      </c>
      <c r="L643">
        <v>0.75</v>
      </c>
      <c r="M643" t="s">
        <v>74</v>
      </c>
      <c r="N643" t="s">
        <v>31</v>
      </c>
      <c r="O643">
        <v>1</v>
      </c>
      <c r="P643">
        <v>1</v>
      </c>
      <c r="Q643" t="str">
        <f t="shared" si="10"/>
        <v>Average</v>
      </c>
    </row>
    <row r="644" spans="1:17" x14ac:dyDescent="0.25">
      <c r="A644" s="3" t="s">
        <v>1377</v>
      </c>
      <c r="B644" s="3" t="s">
        <v>1378</v>
      </c>
      <c r="C644" s="3" t="s">
        <v>34</v>
      </c>
      <c r="D644" s="3">
        <v>50</v>
      </c>
      <c r="E644" s="3" t="s">
        <v>27</v>
      </c>
      <c r="F644" s="3" t="s">
        <v>28</v>
      </c>
      <c r="G644" s="3" t="s">
        <v>21</v>
      </c>
      <c r="H644" s="3">
        <v>17</v>
      </c>
      <c r="I644" s="4">
        <v>75</v>
      </c>
      <c r="J644" s="3">
        <v>3.3</v>
      </c>
      <c r="K644" s="3">
        <v>1</v>
      </c>
      <c r="L644" s="3">
        <v>0.69</v>
      </c>
      <c r="M644" s="3" t="s">
        <v>53</v>
      </c>
      <c r="N644" s="3" t="s">
        <v>67</v>
      </c>
      <c r="O644" s="3">
        <v>15</v>
      </c>
      <c r="P644" s="3">
        <v>9</v>
      </c>
      <c r="Q644" s="3" t="str">
        <f t="shared" si="10"/>
        <v>Average</v>
      </c>
    </row>
    <row r="645" spans="1:17" customFormat="1" hidden="1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s="1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  <c r="Q645" t="str">
        <f t="shared" si="10"/>
        <v>GOOD</v>
      </c>
    </row>
    <row r="646" spans="1:17" customFormat="1" hidden="1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s="1" t="s">
        <v>73</v>
      </c>
      <c r="K646">
        <v>1</v>
      </c>
      <c r="L646">
        <v>0.79</v>
      </c>
      <c r="M646" t="s">
        <v>74</v>
      </c>
      <c r="N646" t="s">
        <v>38</v>
      </c>
      <c r="O646">
        <v>14</v>
      </c>
      <c r="P646">
        <v>5</v>
      </c>
      <c r="Q646" t="str">
        <f t="shared" si="10"/>
        <v>Average</v>
      </c>
    </row>
    <row r="647" spans="1:17" customFormat="1" hidden="1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s="1" t="s">
        <v>240</v>
      </c>
      <c r="J647">
        <v>3.8</v>
      </c>
      <c r="K647">
        <v>1</v>
      </c>
      <c r="L647">
        <v>0.71</v>
      </c>
      <c r="M647" t="s">
        <v>74</v>
      </c>
      <c r="N647" t="s">
        <v>23</v>
      </c>
      <c r="O647">
        <v>5</v>
      </c>
      <c r="P647">
        <v>1</v>
      </c>
      <c r="Q647" t="str">
        <f t="shared" si="10"/>
        <v>GOOD</v>
      </c>
    </row>
    <row r="648" spans="1:17" x14ac:dyDescent="0.25">
      <c r="A648" s="3" t="s">
        <v>1385</v>
      </c>
      <c r="B648" s="3" t="s">
        <v>1386</v>
      </c>
      <c r="C648" s="3" t="s">
        <v>34</v>
      </c>
      <c r="E648" s="3" t="s">
        <v>104</v>
      </c>
      <c r="F648" s="3" t="s">
        <v>105</v>
      </c>
      <c r="G648" s="3" t="s">
        <v>89</v>
      </c>
      <c r="H648" s="3">
        <v>9</v>
      </c>
      <c r="I648" s="4">
        <v>100</v>
      </c>
      <c r="J648" s="3">
        <v>4.8</v>
      </c>
      <c r="K648" s="3" t="s">
        <v>85</v>
      </c>
      <c r="L648" s="3">
        <v>0.72</v>
      </c>
      <c r="M648" s="3" t="s">
        <v>22</v>
      </c>
      <c r="N648" s="3" t="s">
        <v>67</v>
      </c>
      <c r="O648" s="3">
        <v>12</v>
      </c>
      <c r="P648" s="3">
        <v>10</v>
      </c>
      <c r="Q648" s="3" t="str">
        <f t="shared" si="10"/>
        <v>GOOD</v>
      </c>
    </row>
    <row r="649" spans="1:17" customFormat="1" hidden="1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s="1" t="s">
        <v>240</v>
      </c>
      <c r="J649">
        <v>4.3</v>
      </c>
      <c r="K649" t="s">
        <v>37</v>
      </c>
      <c r="L649">
        <v>0.93</v>
      </c>
      <c r="M649" t="s">
        <v>53</v>
      </c>
      <c r="N649" t="s">
        <v>23</v>
      </c>
      <c r="O649">
        <v>8</v>
      </c>
      <c r="P649">
        <v>5</v>
      </c>
      <c r="Q649" t="str">
        <f t="shared" si="10"/>
        <v>GOOD</v>
      </c>
    </row>
    <row r="650" spans="1:17" customFormat="1" hidden="1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I650" s="1"/>
      <c r="J650">
        <v>4.8</v>
      </c>
      <c r="K650">
        <v>1</v>
      </c>
      <c r="L650">
        <v>0.82</v>
      </c>
      <c r="M650" t="s">
        <v>53</v>
      </c>
      <c r="N650" t="s">
        <v>67</v>
      </c>
      <c r="O650">
        <v>10</v>
      </c>
      <c r="P650">
        <v>9</v>
      </c>
      <c r="Q650" t="str">
        <f t="shared" si="10"/>
        <v>GOOD</v>
      </c>
    </row>
    <row r="651" spans="1:17" customFormat="1" hidden="1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s="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  <c r="Q651" t="str">
        <f t="shared" si="10"/>
        <v>Average</v>
      </c>
    </row>
    <row r="652" spans="1:17" x14ac:dyDescent="0.25">
      <c r="A652" s="3" t="s">
        <v>1393</v>
      </c>
      <c r="B652" s="3" t="s">
        <v>1394</v>
      </c>
      <c r="C652" s="3" t="s">
        <v>70</v>
      </c>
      <c r="D652" s="3">
        <v>51</v>
      </c>
      <c r="E652" s="3" t="s">
        <v>77</v>
      </c>
      <c r="F652" s="3" t="s">
        <v>28</v>
      </c>
      <c r="G652" s="3" t="s">
        <v>51</v>
      </c>
      <c r="H652" s="3">
        <v>12</v>
      </c>
      <c r="I652" s="4">
        <v>20</v>
      </c>
      <c r="J652" s="3">
        <v>4</v>
      </c>
      <c r="K652" s="3">
        <v>0</v>
      </c>
      <c r="L652" s="3">
        <v>93</v>
      </c>
      <c r="M652" s="3" t="s">
        <v>53</v>
      </c>
      <c r="N652" s="3" t="s">
        <v>31</v>
      </c>
      <c r="O652" s="3">
        <v>15</v>
      </c>
      <c r="P652" s="3">
        <v>3</v>
      </c>
      <c r="Q652" s="3" t="str">
        <f t="shared" si="10"/>
        <v>GOOD</v>
      </c>
    </row>
    <row r="653" spans="1:17" customFormat="1" hidden="1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s="1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  <c r="Q653" t="str">
        <f t="shared" si="10"/>
        <v>Average</v>
      </c>
    </row>
    <row r="654" spans="1:17" x14ac:dyDescent="0.25">
      <c r="A654" s="3" t="s">
        <v>1397</v>
      </c>
      <c r="B654" s="3" t="s">
        <v>1398</v>
      </c>
      <c r="C654" s="3" t="s">
        <v>70</v>
      </c>
      <c r="D654" s="3">
        <v>42</v>
      </c>
      <c r="E654" s="3" t="s">
        <v>201</v>
      </c>
      <c r="F654" s="3" t="s">
        <v>83</v>
      </c>
      <c r="G654" s="3" t="s">
        <v>42</v>
      </c>
      <c r="H654" s="3">
        <v>13</v>
      </c>
      <c r="I654" s="4">
        <v>30</v>
      </c>
      <c r="J654" s="3">
        <v>0</v>
      </c>
      <c r="K654" s="3" t="b">
        <v>0</v>
      </c>
      <c r="L654" s="3">
        <v>0.74</v>
      </c>
      <c r="M654" s="3" t="s">
        <v>22</v>
      </c>
      <c r="N654" s="3" t="s">
        <v>31</v>
      </c>
      <c r="O654" s="3">
        <v>12</v>
      </c>
      <c r="P654" s="3">
        <v>8</v>
      </c>
      <c r="Q654" s="3" t="str">
        <f t="shared" si="10"/>
        <v>Average</v>
      </c>
    </row>
    <row r="655" spans="1:17" customFormat="1" hidden="1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s="1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  <c r="Q655" t="str">
        <f t="shared" si="10"/>
        <v>Average</v>
      </c>
    </row>
    <row r="656" spans="1:17" x14ac:dyDescent="0.25">
      <c r="A656" s="3" t="s">
        <v>1401</v>
      </c>
      <c r="B656" s="3" t="s">
        <v>1402</v>
      </c>
      <c r="C656" s="3" t="s">
        <v>88</v>
      </c>
      <c r="D656" s="3">
        <v>32</v>
      </c>
      <c r="E656" s="3" t="s">
        <v>35</v>
      </c>
      <c r="F656" s="3" t="s">
        <v>35</v>
      </c>
      <c r="G656" s="3" t="s">
        <v>59</v>
      </c>
      <c r="H656" s="3">
        <v>9</v>
      </c>
      <c r="I656" s="4">
        <v>75</v>
      </c>
      <c r="K656" s="3" t="s">
        <v>37</v>
      </c>
      <c r="L656" s="3">
        <v>0.96</v>
      </c>
      <c r="M656" s="3" t="s">
        <v>53</v>
      </c>
      <c r="N656" s="3" t="s">
        <v>31</v>
      </c>
      <c r="O656" s="3">
        <v>11</v>
      </c>
      <c r="P656" s="3">
        <v>5</v>
      </c>
      <c r="Q656" s="3" t="str">
        <f t="shared" si="10"/>
        <v>Average</v>
      </c>
    </row>
    <row r="657" spans="1:17" x14ac:dyDescent="0.25">
      <c r="A657" s="3" t="s">
        <v>1403</v>
      </c>
      <c r="B657" s="3" t="s">
        <v>1404</v>
      </c>
      <c r="C657" s="3" t="s">
        <v>46</v>
      </c>
      <c r="D657" s="3">
        <v>59</v>
      </c>
      <c r="E657" s="3" t="s">
        <v>139</v>
      </c>
      <c r="F657" s="3" t="s">
        <v>28</v>
      </c>
      <c r="G657" s="3" t="s">
        <v>36</v>
      </c>
      <c r="H657" s="3">
        <v>14</v>
      </c>
      <c r="I657" s="4">
        <v>30</v>
      </c>
      <c r="J657" s="3">
        <v>3.8</v>
      </c>
      <c r="L657" s="3">
        <v>0.66</v>
      </c>
      <c r="M657" s="3" t="s">
        <v>74</v>
      </c>
      <c r="N657" s="3" t="s">
        <v>38</v>
      </c>
      <c r="O657" s="3">
        <v>8</v>
      </c>
      <c r="P657" s="3">
        <v>8</v>
      </c>
      <c r="Q657" s="3" t="str">
        <f t="shared" si="10"/>
        <v>GOOD</v>
      </c>
    </row>
    <row r="658" spans="1:17" x14ac:dyDescent="0.25">
      <c r="A658" s="3" t="s">
        <v>1405</v>
      </c>
      <c r="B658" s="3" t="s">
        <v>1406</v>
      </c>
      <c r="C658" s="3" t="s">
        <v>26</v>
      </c>
      <c r="D658" s="3">
        <v>59</v>
      </c>
      <c r="E658" s="3" t="s">
        <v>146</v>
      </c>
      <c r="F658" s="3" t="s">
        <v>147</v>
      </c>
      <c r="G658" s="3" t="s">
        <v>89</v>
      </c>
      <c r="H658" s="3">
        <v>37</v>
      </c>
      <c r="I658" s="4">
        <v>30</v>
      </c>
      <c r="J658" s="3">
        <v>4</v>
      </c>
      <c r="K658" s="3" t="b">
        <v>0</v>
      </c>
      <c r="L658" s="3">
        <v>0.62</v>
      </c>
      <c r="M658" s="3" t="s">
        <v>22</v>
      </c>
      <c r="N658" s="3" t="s">
        <v>38</v>
      </c>
      <c r="O658" s="3">
        <v>20</v>
      </c>
      <c r="P658" s="3">
        <v>2</v>
      </c>
      <c r="Q658" s="3" t="str">
        <f t="shared" si="10"/>
        <v>GOOD</v>
      </c>
    </row>
    <row r="659" spans="1:17" customFormat="1" hidden="1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s="1" t="s">
        <v>60</v>
      </c>
      <c r="J659">
        <v>2.2000000000000002</v>
      </c>
      <c r="K659" t="s">
        <v>85</v>
      </c>
      <c r="L659">
        <v>0.85</v>
      </c>
      <c r="M659" t="s">
        <v>53</v>
      </c>
      <c r="N659" t="s">
        <v>38</v>
      </c>
      <c r="O659">
        <v>5</v>
      </c>
      <c r="P659">
        <v>1</v>
      </c>
      <c r="Q659" t="str">
        <f t="shared" si="10"/>
        <v>Average</v>
      </c>
    </row>
    <row r="660" spans="1:17" x14ac:dyDescent="0.25">
      <c r="A660" s="3" t="s">
        <v>1409</v>
      </c>
      <c r="B660" s="3" t="s">
        <v>1410</v>
      </c>
      <c r="C660" s="3" t="s">
        <v>70</v>
      </c>
      <c r="D660" s="3">
        <v>58</v>
      </c>
      <c r="E660" s="3" t="s">
        <v>186</v>
      </c>
      <c r="F660" s="3" t="s">
        <v>187</v>
      </c>
      <c r="G660" s="3" t="s">
        <v>51</v>
      </c>
      <c r="H660" s="3">
        <v>11</v>
      </c>
      <c r="I660" s="4">
        <v>100</v>
      </c>
      <c r="J660" s="3">
        <v>4.3</v>
      </c>
      <c r="K660" s="3">
        <v>0</v>
      </c>
      <c r="L660" s="3">
        <v>0.66</v>
      </c>
      <c r="M660" s="3" t="s">
        <v>53</v>
      </c>
      <c r="N660" s="3" t="s">
        <v>23</v>
      </c>
      <c r="O660" s="3">
        <v>6</v>
      </c>
      <c r="P660" s="3">
        <v>3</v>
      </c>
      <c r="Q660" s="3" t="str">
        <f t="shared" si="10"/>
        <v>GOOD</v>
      </c>
    </row>
    <row r="661" spans="1:17" x14ac:dyDescent="0.25">
      <c r="A661" s="3" t="s">
        <v>1411</v>
      </c>
      <c r="B661" s="3" t="s">
        <v>1412</v>
      </c>
      <c r="C661" s="3" t="s">
        <v>18</v>
      </c>
      <c r="D661" s="3">
        <v>56</v>
      </c>
      <c r="E661" s="3" t="s">
        <v>139</v>
      </c>
      <c r="F661" s="3" t="s">
        <v>28</v>
      </c>
      <c r="G661" s="3" t="s">
        <v>89</v>
      </c>
      <c r="H661" s="3">
        <v>19</v>
      </c>
      <c r="I661" s="4">
        <v>20</v>
      </c>
      <c r="J661" s="3">
        <v>0</v>
      </c>
      <c r="K661" s="3">
        <v>0</v>
      </c>
      <c r="L661" s="3">
        <v>0.87</v>
      </c>
      <c r="M661" s="3" t="s">
        <v>74</v>
      </c>
      <c r="N661" s="3" t="s">
        <v>23</v>
      </c>
      <c r="O661" s="3">
        <v>16</v>
      </c>
      <c r="P661" s="3">
        <v>5</v>
      </c>
      <c r="Q661" s="3" t="str">
        <f t="shared" si="10"/>
        <v>Average</v>
      </c>
    </row>
    <row r="662" spans="1:17" x14ac:dyDescent="0.25">
      <c r="A662" s="3" t="s">
        <v>1413</v>
      </c>
      <c r="B662" s="3" t="s">
        <v>1414</v>
      </c>
      <c r="C662" s="3" t="s">
        <v>41</v>
      </c>
      <c r="D662" s="3">
        <v>36</v>
      </c>
      <c r="E662" s="3" t="s">
        <v>66</v>
      </c>
      <c r="F662" s="3" t="s">
        <v>28</v>
      </c>
      <c r="G662" s="3" t="s">
        <v>125</v>
      </c>
      <c r="H662" s="3">
        <v>9</v>
      </c>
      <c r="I662" s="4">
        <v>20</v>
      </c>
      <c r="J662" s="3">
        <v>0</v>
      </c>
      <c r="K662" s="3">
        <v>1</v>
      </c>
      <c r="L662" s="3">
        <v>68</v>
      </c>
      <c r="M662" s="3" t="s">
        <v>74</v>
      </c>
      <c r="N662" s="3" t="s">
        <v>38</v>
      </c>
      <c r="O662" s="3">
        <v>9</v>
      </c>
      <c r="P662" s="3">
        <v>10</v>
      </c>
      <c r="Q662" s="3" t="str">
        <f t="shared" si="10"/>
        <v>Average</v>
      </c>
    </row>
    <row r="663" spans="1:17" x14ac:dyDescent="0.25">
      <c r="A663" s="3" t="s">
        <v>1415</v>
      </c>
      <c r="B663" s="3" t="s">
        <v>1416</v>
      </c>
      <c r="C663" s="3" t="s">
        <v>88</v>
      </c>
      <c r="D663" s="3">
        <v>52</v>
      </c>
      <c r="E663" s="3" t="s">
        <v>139</v>
      </c>
      <c r="F663" s="3" t="s">
        <v>28</v>
      </c>
      <c r="G663" s="3" t="s">
        <v>84</v>
      </c>
      <c r="H663" s="3">
        <v>16</v>
      </c>
      <c r="I663" s="4">
        <v>100</v>
      </c>
      <c r="J663" s="3">
        <v>4</v>
      </c>
      <c r="K663" s="3">
        <v>1</v>
      </c>
      <c r="M663" s="3" t="s">
        <v>79</v>
      </c>
      <c r="N663" s="3" t="s">
        <v>23</v>
      </c>
      <c r="O663" s="3">
        <v>10</v>
      </c>
      <c r="P663" s="3">
        <v>11</v>
      </c>
      <c r="Q663" s="3" t="str">
        <f t="shared" si="10"/>
        <v>GOOD</v>
      </c>
    </row>
    <row r="664" spans="1:17" customFormat="1" hidden="1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s="1" t="s">
        <v>109</v>
      </c>
      <c r="M664" t="s">
        <v>22</v>
      </c>
      <c r="N664" t="s">
        <v>31</v>
      </c>
      <c r="O664">
        <v>6</v>
      </c>
      <c r="P664">
        <v>11</v>
      </c>
      <c r="Q664" t="str">
        <f t="shared" si="10"/>
        <v>Average</v>
      </c>
    </row>
    <row r="665" spans="1:17" x14ac:dyDescent="0.25">
      <c r="A665" s="3" t="s">
        <v>1419</v>
      </c>
      <c r="B665" s="3" t="s">
        <v>1420</v>
      </c>
      <c r="C665" s="3" t="s">
        <v>26</v>
      </c>
      <c r="D665" s="3">
        <v>59</v>
      </c>
      <c r="E665" s="3" t="s">
        <v>104</v>
      </c>
      <c r="F665" s="3" t="s">
        <v>105</v>
      </c>
      <c r="G665" s="3" t="s">
        <v>29</v>
      </c>
      <c r="H665" s="3">
        <v>34</v>
      </c>
      <c r="I665" s="4">
        <v>100</v>
      </c>
      <c r="J665" s="3">
        <v>2</v>
      </c>
      <c r="K665" s="3">
        <v>1</v>
      </c>
      <c r="L665" s="3">
        <v>0.79</v>
      </c>
      <c r="M665" s="3" t="s">
        <v>22</v>
      </c>
      <c r="N665" s="3" t="s">
        <v>67</v>
      </c>
      <c r="O665" s="3">
        <v>18</v>
      </c>
      <c r="P665" s="3">
        <v>8</v>
      </c>
      <c r="Q665" s="3" t="str">
        <f t="shared" si="10"/>
        <v>Average</v>
      </c>
    </row>
    <row r="666" spans="1:17" customFormat="1" hidden="1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s="1" t="s">
        <v>73</v>
      </c>
      <c r="J666">
        <v>4.7</v>
      </c>
      <c r="K666">
        <v>1</v>
      </c>
      <c r="L666">
        <v>0.88</v>
      </c>
      <c r="M666" t="s">
        <v>74</v>
      </c>
      <c r="N666" t="s">
        <v>67</v>
      </c>
      <c r="O666">
        <v>4</v>
      </c>
      <c r="P666">
        <v>2</v>
      </c>
      <c r="Q666" t="str">
        <f t="shared" si="10"/>
        <v>GOOD</v>
      </c>
    </row>
    <row r="667" spans="1:17" customFormat="1" hidden="1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s="1" t="s">
        <v>109</v>
      </c>
      <c r="J667">
        <v>3.6</v>
      </c>
      <c r="K667">
        <v>1</v>
      </c>
      <c r="L667">
        <v>0.81</v>
      </c>
      <c r="M667" t="s">
        <v>79</v>
      </c>
      <c r="N667" t="s">
        <v>67</v>
      </c>
      <c r="O667">
        <v>9</v>
      </c>
      <c r="P667">
        <v>7</v>
      </c>
      <c r="Q667" t="str">
        <f t="shared" si="10"/>
        <v>GOOD</v>
      </c>
    </row>
    <row r="668" spans="1:17" x14ac:dyDescent="0.25">
      <c r="A668" s="3" t="s">
        <v>1425</v>
      </c>
      <c r="B668" s="3" t="s">
        <v>1426</v>
      </c>
      <c r="C668" s="3" t="s">
        <v>34</v>
      </c>
      <c r="D668" s="3">
        <v>47</v>
      </c>
      <c r="E668" s="3" t="s">
        <v>123</v>
      </c>
      <c r="F668" s="3" t="s">
        <v>124</v>
      </c>
      <c r="G668" s="3" t="s">
        <v>84</v>
      </c>
      <c r="H668" s="3">
        <v>17</v>
      </c>
      <c r="I668" s="4">
        <v>50</v>
      </c>
      <c r="J668" s="3">
        <v>1.2</v>
      </c>
      <c r="K668" s="3" t="s">
        <v>37</v>
      </c>
      <c r="M668" s="3" t="s">
        <v>22</v>
      </c>
      <c r="N668" s="3" t="s">
        <v>38</v>
      </c>
      <c r="O668" s="3">
        <v>14</v>
      </c>
      <c r="P668" s="3">
        <v>5</v>
      </c>
      <c r="Q668" s="3" t="str">
        <f t="shared" si="10"/>
        <v>Average</v>
      </c>
    </row>
    <row r="669" spans="1:17" customFormat="1" hidden="1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I669" s="1"/>
      <c r="J669">
        <v>4.4000000000000004</v>
      </c>
      <c r="K669" t="s">
        <v>85</v>
      </c>
      <c r="L669">
        <v>0.67</v>
      </c>
      <c r="M669" t="s">
        <v>74</v>
      </c>
      <c r="N669" t="s">
        <v>23</v>
      </c>
      <c r="O669">
        <v>15</v>
      </c>
      <c r="P669">
        <v>5</v>
      </c>
      <c r="Q669" t="str">
        <f t="shared" si="10"/>
        <v>GOOD</v>
      </c>
    </row>
    <row r="670" spans="1:17" x14ac:dyDescent="0.25">
      <c r="A670" s="3" t="s">
        <v>1429</v>
      </c>
      <c r="B670" s="3" t="s">
        <v>1430</v>
      </c>
      <c r="C670" s="3" t="s">
        <v>88</v>
      </c>
      <c r="D670" s="3">
        <v>30</v>
      </c>
      <c r="E670" s="3" t="s">
        <v>77</v>
      </c>
      <c r="F670" s="3" t="s">
        <v>28</v>
      </c>
      <c r="G670" s="3" t="s">
        <v>100</v>
      </c>
      <c r="H670" s="3">
        <v>8</v>
      </c>
      <c r="I670" s="4">
        <v>100</v>
      </c>
      <c r="J670" s="3">
        <v>1.4</v>
      </c>
      <c r="K670" s="3" t="s">
        <v>78</v>
      </c>
      <c r="L670" s="3">
        <v>62</v>
      </c>
      <c r="M670" s="3" t="s">
        <v>53</v>
      </c>
      <c r="N670" s="3" t="s">
        <v>31</v>
      </c>
      <c r="O670" s="3">
        <v>14</v>
      </c>
      <c r="P670" s="3">
        <v>5</v>
      </c>
      <c r="Q670" s="3" t="str">
        <f t="shared" si="10"/>
        <v>Average</v>
      </c>
    </row>
    <row r="671" spans="1:17" customFormat="1" hidden="1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s="1" t="s">
        <v>120</v>
      </c>
      <c r="J671">
        <v>3.2</v>
      </c>
      <c r="K671">
        <v>0</v>
      </c>
      <c r="L671">
        <v>0.87</v>
      </c>
      <c r="M671" t="s">
        <v>22</v>
      </c>
      <c r="N671" t="s">
        <v>31</v>
      </c>
      <c r="O671">
        <v>3</v>
      </c>
      <c r="P671">
        <v>2</v>
      </c>
      <c r="Q671" t="str">
        <f t="shared" si="10"/>
        <v>Average</v>
      </c>
    </row>
    <row r="672" spans="1:17" customFormat="1" hidden="1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I672" s="1"/>
      <c r="J672">
        <v>3.8</v>
      </c>
      <c r="K672" t="s">
        <v>78</v>
      </c>
      <c r="L672">
        <v>0.98</v>
      </c>
      <c r="M672" t="s">
        <v>79</v>
      </c>
      <c r="N672" t="s">
        <v>38</v>
      </c>
      <c r="O672">
        <v>12</v>
      </c>
      <c r="P672">
        <v>11</v>
      </c>
      <c r="Q672" t="str">
        <f t="shared" si="10"/>
        <v>GOOD</v>
      </c>
    </row>
    <row r="673" spans="1:17" customFormat="1" hidden="1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s="1" t="s">
        <v>181</v>
      </c>
      <c r="J673">
        <v>1.5</v>
      </c>
      <c r="K673" t="b">
        <v>1</v>
      </c>
      <c r="L673">
        <v>0.64</v>
      </c>
      <c r="M673" t="s">
        <v>79</v>
      </c>
      <c r="N673" t="s">
        <v>31</v>
      </c>
      <c r="O673">
        <v>5</v>
      </c>
      <c r="P673">
        <v>4</v>
      </c>
      <c r="Q673" t="str">
        <f t="shared" si="10"/>
        <v>Average</v>
      </c>
    </row>
    <row r="674" spans="1:17" customFormat="1" hidden="1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I674" s="1"/>
      <c r="J674">
        <v>2.8</v>
      </c>
      <c r="K674">
        <v>1</v>
      </c>
      <c r="L674">
        <v>0.71</v>
      </c>
      <c r="M674" t="s">
        <v>79</v>
      </c>
      <c r="N674" t="s">
        <v>31</v>
      </c>
      <c r="O674">
        <v>4</v>
      </c>
      <c r="P674">
        <v>1</v>
      </c>
      <c r="Q674" t="str">
        <f t="shared" si="10"/>
        <v>Average</v>
      </c>
    </row>
    <row r="675" spans="1:17" x14ac:dyDescent="0.25">
      <c r="A675" s="3" t="s">
        <v>1439</v>
      </c>
      <c r="B675" s="3" t="s">
        <v>1440</v>
      </c>
      <c r="C675" s="3" t="s">
        <v>34</v>
      </c>
      <c r="D675" s="3">
        <v>47</v>
      </c>
      <c r="E675" s="3" t="s">
        <v>150</v>
      </c>
      <c r="F675" s="3" t="s">
        <v>151</v>
      </c>
      <c r="G675" s="3" t="s">
        <v>51</v>
      </c>
      <c r="H675" s="3">
        <v>2</v>
      </c>
      <c r="I675" s="4">
        <v>50</v>
      </c>
      <c r="J675" s="3">
        <v>2.7</v>
      </c>
      <c r="K675" s="3" t="s">
        <v>170</v>
      </c>
      <c r="L675" s="3">
        <v>96</v>
      </c>
      <c r="M675" s="3" t="s">
        <v>53</v>
      </c>
      <c r="N675" s="3" t="s">
        <v>31</v>
      </c>
      <c r="O675" s="3">
        <v>4</v>
      </c>
      <c r="P675" s="3">
        <v>1</v>
      </c>
      <c r="Q675" s="3" t="str">
        <f t="shared" si="10"/>
        <v>Average</v>
      </c>
    </row>
    <row r="676" spans="1:17" customFormat="1" hidden="1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1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  <c r="Q676" t="str">
        <f t="shared" si="10"/>
        <v>GOOD</v>
      </c>
    </row>
    <row r="677" spans="1:17" x14ac:dyDescent="0.25">
      <c r="A677" s="3" t="s">
        <v>1443</v>
      </c>
      <c r="B677" s="3" t="s">
        <v>1444</v>
      </c>
      <c r="C677" s="3" t="s">
        <v>103</v>
      </c>
      <c r="D677" s="3">
        <v>45</v>
      </c>
      <c r="E677" s="3" t="s">
        <v>66</v>
      </c>
      <c r="F677" s="3" t="s">
        <v>28</v>
      </c>
      <c r="G677" s="3" t="s">
        <v>36</v>
      </c>
      <c r="H677" s="3">
        <v>16</v>
      </c>
      <c r="I677" s="4">
        <v>100</v>
      </c>
      <c r="J677" s="3">
        <v>4.5999999999999996</v>
      </c>
      <c r="K677" s="3" t="s">
        <v>37</v>
      </c>
      <c r="L677" s="3">
        <v>0.78</v>
      </c>
      <c r="M677" s="3" t="s">
        <v>22</v>
      </c>
      <c r="N677" s="3" t="s">
        <v>23</v>
      </c>
      <c r="O677" s="3">
        <v>15</v>
      </c>
      <c r="P677" s="3">
        <v>7</v>
      </c>
      <c r="Q677" s="3" t="str">
        <f t="shared" si="10"/>
        <v>GOOD</v>
      </c>
    </row>
    <row r="678" spans="1:17" customFormat="1" hidden="1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s="1" t="s">
        <v>132</v>
      </c>
      <c r="J678">
        <v>2.2000000000000002</v>
      </c>
      <c r="K678" t="b">
        <v>0</v>
      </c>
      <c r="L678">
        <v>0.7</v>
      </c>
      <c r="M678" t="s">
        <v>53</v>
      </c>
      <c r="N678" t="s">
        <v>31</v>
      </c>
      <c r="O678">
        <v>19</v>
      </c>
      <c r="P678">
        <v>3</v>
      </c>
      <c r="Q678" t="str">
        <f t="shared" si="10"/>
        <v>Average</v>
      </c>
    </row>
    <row r="679" spans="1:17" x14ac:dyDescent="0.25">
      <c r="A679" s="3" t="s">
        <v>1447</v>
      </c>
      <c r="B679" s="3" t="s">
        <v>1448</v>
      </c>
      <c r="C679" s="3" t="s">
        <v>46</v>
      </c>
      <c r="D679" s="3">
        <v>49</v>
      </c>
      <c r="E679" s="3" t="s">
        <v>186</v>
      </c>
      <c r="F679" s="3" t="s">
        <v>187</v>
      </c>
      <c r="G679" s="3" t="s">
        <v>100</v>
      </c>
      <c r="H679" s="3">
        <v>20</v>
      </c>
      <c r="I679" s="4">
        <v>50</v>
      </c>
      <c r="J679" s="3">
        <v>2.5</v>
      </c>
      <c r="K679" s="3">
        <v>0</v>
      </c>
      <c r="L679" s="3">
        <v>0.82</v>
      </c>
      <c r="M679" s="3" t="s">
        <v>22</v>
      </c>
      <c r="N679" s="3" t="s">
        <v>67</v>
      </c>
      <c r="O679" s="3">
        <v>15</v>
      </c>
      <c r="P679" s="3">
        <v>11</v>
      </c>
      <c r="Q679" s="3" t="str">
        <f t="shared" si="10"/>
        <v>Average</v>
      </c>
    </row>
    <row r="680" spans="1:17" customFormat="1" hidden="1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I680" s="1"/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  <c r="Q680" t="str">
        <f t="shared" si="10"/>
        <v>Average</v>
      </c>
    </row>
    <row r="681" spans="1:17" customFormat="1" hidden="1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s="1" t="s">
        <v>132</v>
      </c>
      <c r="K681">
        <v>1</v>
      </c>
      <c r="L681">
        <v>0.99</v>
      </c>
      <c r="M681" t="s">
        <v>53</v>
      </c>
      <c r="N681" t="s">
        <v>23</v>
      </c>
      <c r="O681">
        <v>3</v>
      </c>
      <c r="P681">
        <v>2</v>
      </c>
      <c r="Q681" t="str">
        <f t="shared" si="10"/>
        <v>Average</v>
      </c>
    </row>
    <row r="682" spans="1:17" x14ac:dyDescent="0.25">
      <c r="A682" s="3" t="s">
        <v>1453</v>
      </c>
      <c r="B682" s="3" t="s">
        <v>1454</v>
      </c>
      <c r="C682" s="3" t="s">
        <v>88</v>
      </c>
      <c r="D682" s="3">
        <v>49</v>
      </c>
      <c r="E682" s="3" t="s">
        <v>49</v>
      </c>
      <c r="F682" s="3" t="s">
        <v>50</v>
      </c>
      <c r="G682" s="3" t="s">
        <v>42</v>
      </c>
      <c r="H682" s="3">
        <v>11</v>
      </c>
      <c r="I682" s="4">
        <v>75</v>
      </c>
      <c r="J682" s="3">
        <v>3.8</v>
      </c>
      <c r="K682" s="3" t="s">
        <v>85</v>
      </c>
      <c r="L682" s="3">
        <v>0.93</v>
      </c>
      <c r="M682" s="3" t="s">
        <v>53</v>
      </c>
      <c r="N682" s="3" t="s">
        <v>31</v>
      </c>
      <c r="O682" s="3">
        <v>13</v>
      </c>
      <c r="P682" s="3">
        <v>5</v>
      </c>
      <c r="Q682" s="3" t="str">
        <f t="shared" si="10"/>
        <v>GOOD</v>
      </c>
    </row>
    <row r="683" spans="1:17" x14ac:dyDescent="0.25">
      <c r="A683" s="3" t="s">
        <v>1455</v>
      </c>
      <c r="B683" s="3" t="s">
        <v>1456</v>
      </c>
      <c r="C683" s="3" t="s">
        <v>26</v>
      </c>
      <c r="D683" s="3">
        <v>22</v>
      </c>
      <c r="E683" s="3" t="s">
        <v>186</v>
      </c>
      <c r="F683" s="3" t="s">
        <v>187</v>
      </c>
      <c r="G683" s="3" t="s">
        <v>21</v>
      </c>
      <c r="H683" s="3">
        <v>1</v>
      </c>
      <c r="I683" s="4">
        <v>100</v>
      </c>
      <c r="J683" s="3">
        <v>4.8</v>
      </c>
      <c r="K683" s="3" t="s">
        <v>85</v>
      </c>
      <c r="L683" s="3">
        <v>0.75</v>
      </c>
      <c r="M683" s="3" t="s">
        <v>79</v>
      </c>
      <c r="N683" s="3" t="s">
        <v>23</v>
      </c>
      <c r="O683" s="3">
        <v>1</v>
      </c>
      <c r="P683" s="3">
        <v>1</v>
      </c>
      <c r="Q683" s="3" t="str">
        <f t="shared" si="10"/>
        <v>GOOD</v>
      </c>
    </row>
    <row r="684" spans="1:17" customFormat="1" hidden="1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s="1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  <c r="Q684" t="str">
        <f t="shared" si="10"/>
        <v>Average</v>
      </c>
    </row>
    <row r="685" spans="1:17" customFormat="1" hidden="1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s="1" t="s">
        <v>120</v>
      </c>
      <c r="J685">
        <v>0</v>
      </c>
      <c r="K685" t="s">
        <v>170</v>
      </c>
      <c r="L685">
        <v>0.97</v>
      </c>
      <c r="M685" t="s">
        <v>53</v>
      </c>
      <c r="N685" t="s">
        <v>67</v>
      </c>
      <c r="O685">
        <v>9</v>
      </c>
      <c r="P685">
        <v>8</v>
      </c>
      <c r="Q685" t="str">
        <f t="shared" si="10"/>
        <v>Average</v>
      </c>
    </row>
    <row r="686" spans="1:17" customFormat="1" hidden="1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s="1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  <c r="Q686" t="str">
        <f t="shared" si="10"/>
        <v>Average</v>
      </c>
    </row>
    <row r="687" spans="1:17" customFormat="1" hidden="1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s="1" t="s">
        <v>63</v>
      </c>
      <c r="J687">
        <v>4</v>
      </c>
      <c r="L687">
        <v>0.69</v>
      </c>
      <c r="M687" t="s">
        <v>79</v>
      </c>
      <c r="N687" t="s">
        <v>31</v>
      </c>
      <c r="O687">
        <v>14</v>
      </c>
      <c r="P687">
        <v>9</v>
      </c>
      <c r="Q687" t="str">
        <f t="shared" si="10"/>
        <v>GOOD</v>
      </c>
    </row>
    <row r="688" spans="1:17" customFormat="1" hidden="1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s="1" t="s">
        <v>30</v>
      </c>
      <c r="J688">
        <v>1.9</v>
      </c>
      <c r="K688" t="b">
        <v>0</v>
      </c>
      <c r="L688">
        <v>0.63</v>
      </c>
      <c r="M688" t="s">
        <v>53</v>
      </c>
      <c r="N688" t="s">
        <v>31</v>
      </c>
      <c r="O688">
        <v>11</v>
      </c>
      <c r="P688">
        <v>5</v>
      </c>
      <c r="Q688" t="str">
        <f t="shared" si="10"/>
        <v>Average</v>
      </c>
    </row>
    <row r="689" spans="1:17" customFormat="1" hidden="1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s="1" t="s">
        <v>120</v>
      </c>
      <c r="J689">
        <v>4.4000000000000004</v>
      </c>
      <c r="K689" t="b">
        <v>1</v>
      </c>
      <c r="L689">
        <v>0.65</v>
      </c>
      <c r="M689" t="s">
        <v>74</v>
      </c>
      <c r="N689" t="s">
        <v>31</v>
      </c>
      <c r="O689">
        <v>1</v>
      </c>
      <c r="P689">
        <v>1</v>
      </c>
      <c r="Q689" t="str">
        <f t="shared" si="10"/>
        <v>GOOD</v>
      </c>
    </row>
    <row r="690" spans="1:17" customFormat="1" hidden="1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I690" s="1"/>
      <c r="J690">
        <v>4.2</v>
      </c>
      <c r="K690" t="s">
        <v>85</v>
      </c>
      <c r="L690">
        <v>0.9</v>
      </c>
      <c r="M690" t="s">
        <v>79</v>
      </c>
      <c r="N690" t="s">
        <v>31</v>
      </c>
      <c r="O690">
        <v>1</v>
      </c>
      <c r="P690">
        <v>1</v>
      </c>
      <c r="Q690" t="str">
        <f t="shared" si="10"/>
        <v>GOOD</v>
      </c>
    </row>
    <row r="691" spans="1:17" x14ac:dyDescent="0.25">
      <c r="A691" s="3" t="s">
        <v>1471</v>
      </c>
      <c r="B691" s="3" t="s">
        <v>48</v>
      </c>
      <c r="C691" s="3" t="s">
        <v>88</v>
      </c>
      <c r="D691" s="3">
        <v>52</v>
      </c>
      <c r="E691" s="3" t="s">
        <v>139</v>
      </c>
      <c r="F691" s="3" t="s">
        <v>28</v>
      </c>
      <c r="G691" s="3" t="s">
        <v>84</v>
      </c>
      <c r="H691" s="3">
        <v>25</v>
      </c>
      <c r="I691" s="4">
        <v>100</v>
      </c>
      <c r="J691" s="3">
        <v>4.8</v>
      </c>
      <c r="K691" s="3" t="s">
        <v>37</v>
      </c>
      <c r="M691" s="3" t="s">
        <v>74</v>
      </c>
      <c r="N691" s="3" t="s">
        <v>38</v>
      </c>
      <c r="O691" s="3">
        <v>10</v>
      </c>
      <c r="P691" s="3">
        <v>8</v>
      </c>
      <c r="Q691" s="3" t="str">
        <f t="shared" si="10"/>
        <v>GOOD</v>
      </c>
    </row>
    <row r="692" spans="1:17" customFormat="1" hidden="1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s="1" t="s">
        <v>120</v>
      </c>
      <c r="J692">
        <v>2</v>
      </c>
      <c r="K692" t="s">
        <v>170</v>
      </c>
      <c r="L692">
        <v>0.89</v>
      </c>
      <c r="M692" t="s">
        <v>22</v>
      </c>
      <c r="N692" t="s">
        <v>38</v>
      </c>
      <c r="O692">
        <v>1</v>
      </c>
      <c r="P692">
        <v>2</v>
      </c>
      <c r="Q692" t="str">
        <f t="shared" si="10"/>
        <v>Average</v>
      </c>
    </row>
    <row r="693" spans="1:17" customFormat="1" hidden="1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s="1" t="s">
        <v>109</v>
      </c>
      <c r="K693">
        <v>1</v>
      </c>
      <c r="L693">
        <v>0.8</v>
      </c>
      <c r="M693" t="s">
        <v>22</v>
      </c>
      <c r="N693" t="s">
        <v>67</v>
      </c>
      <c r="O693">
        <v>11</v>
      </c>
      <c r="P693">
        <v>3</v>
      </c>
      <c r="Q693" t="str">
        <f t="shared" si="10"/>
        <v>Average</v>
      </c>
    </row>
    <row r="694" spans="1:17" x14ac:dyDescent="0.25">
      <c r="A694" s="3" t="s">
        <v>1476</v>
      </c>
      <c r="B694" s="3" t="s">
        <v>1432</v>
      </c>
      <c r="C694" s="3" t="s">
        <v>46</v>
      </c>
      <c r="D694" s="3">
        <v>31</v>
      </c>
      <c r="E694" s="3" t="s">
        <v>146</v>
      </c>
      <c r="F694" s="3" t="s">
        <v>147</v>
      </c>
      <c r="G694" s="3" t="s">
        <v>29</v>
      </c>
      <c r="I694" s="4">
        <v>50</v>
      </c>
      <c r="J694" s="3">
        <v>1.4</v>
      </c>
      <c r="K694" s="3" t="s">
        <v>170</v>
      </c>
      <c r="L694" s="3">
        <v>0.8</v>
      </c>
      <c r="M694" s="3" t="s">
        <v>79</v>
      </c>
      <c r="N694" s="3" t="s">
        <v>38</v>
      </c>
      <c r="O694" s="3">
        <v>5</v>
      </c>
      <c r="P694" s="3">
        <v>2</v>
      </c>
      <c r="Q694" s="3" t="str">
        <f t="shared" si="10"/>
        <v>Average</v>
      </c>
    </row>
    <row r="695" spans="1:17" x14ac:dyDescent="0.25">
      <c r="A695" s="3" t="s">
        <v>1477</v>
      </c>
      <c r="B695" s="3" t="s">
        <v>1478</v>
      </c>
      <c r="C695" s="3" t="s">
        <v>26</v>
      </c>
      <c r="D695" s="3">
        <v>29</v>
      </c>
      <c r="E695" s="3" t="s">
        <v>35</v>
      </c>
      <c r="F695" s="3" t="s">
        <v>35</v>
      </c>
      <c r="G695" s="3" t="s">
        <v>59</v>
      </c>
      <c r="H695" s="3">
        <v>6</v>
      </c>
      <c r="I695" s="4">
        <v>100</v>
      </c>
      <c r="J695" s="3">
        <v>1.8</v>
      </c>
      <c r="K695" s="3" t="s">
        <v>37</v>
      </c>
      <c r="M695" s="3" t="s">
        <v>22</v>
      </c>
      <c r="N695" s="3" t="s">
        <v>31</v>
      </c>
      <c r="O695" s="3">
        <v>6</v>
      </c>
      <c r="P695" s="3">
        <v>10</v>
      </c>
      <c r="Q695" s="3" t="str">
        <f t="shared" si="10"/>
        <v>Average</v>
      </c>
    </row>
    <row r="696" spans="1:17" customFormat="1" hidden="1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I696" s="1"/>
      <c r="J696">
        <v>0</v>
      </c>
      <c r="K696">
        <v>1</v>
      </c>
      <c r="L696">
        <v>0.67</v>
      </c>
      <c r="M696" t="s">
        <v>74</v>
      </c>
      <c r="N696" t="s">
        <v>67</v>
      </c>
      <c r="O696">
        <v>18</v>
      </c>
      <c r="P696">
        <v>9</v>
      </c>
      <c r="Q696" t="str">
        <f t="shared" si="10"/>
        <v>Average</v>
      </c>
    </row>
    <row r="697" spans="1:17" customFormat="1" hidden="1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s="1" t="s">
        <v>63</v>
      </c>
      <c r="J697">
        <v>0</v>
      </c>
      <c r="K697">
        <v>0</v>
      </c>
      <c r="L697">
        <v>0.96</v>
      </c>
      <c r="M697" t="s">
        <v>53</v>
      </c>
      <c r="N697" t="s">
        <v>67</v>
      </c>
      <c r="O697">
        <v>2</v>
      </c>
      <c r="P697">
        <v>2</v>
      </c>
      <c r="Q697" t="str">
        <f t="shared" si="10"/>
        <v>Average</v>
      </c>
    </row>
    <row r="698" spans="1:17" x14ac:dyDescent="0.25">
      <c r="A698" s="3" t="s">
        <v>1482</v>
      </c>
      <c r="B698" s="3" t="s">
        <v>1483</v>
      </c>
      <c r="C698" s="3" t="s">
        <v>108</v>
      </c>
      <c r="D698" s="3">
        <v>29</v>
      </c>
      <c r="E698" s="3" t="s">
        <v>201</v>
      </c>
      <c r="F698" s="3" t="s">
        <v>83</v>
      </c>
      <c r="G698" s="3" t="s">
        <v>36</v>
      </c>
      <c r="I698" s="4">
        <v>20</v>
      </c>
      <c r="J698" s="3">
        <v>0</v>
      </c>
      <c r="K698" s="3">
        <v>0</v>
      </c>
      <c r="L698" s="3">
        <v>0.9</v>
      </c>
      <c r="M698" s="3" t="s">
        <v>53</v>
      </c>
      <c r="N698" s="3" t="s">
        <v>67</v>
      </c>
      <c r="O698" s="3">
        <v>3</v>
      </c>
      <c r="P698" s="3">
        <v>3</v>
      </c>
      <c r="Q698" s="3" t="str">
        <f t="shared" si="10"/>
        <v>Average</v>
      </c>
    </row>
    <row r="699" spans="1:17" customFormat="1" hidden="1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I699" s="1"/>
      <c r="J699">
        <v>3.9</v>
      </c>
      <c r="K699" t="b">
        <v>0</v>
      </c>
      <c r="L699">
        <v>0.62</v>
      </c>
      <c r="M699" t="s">
        <v>53</v>
      </c>
      <c r="N699" t="s">
        <v>31</v>
      </c>
      <c r="O699">
        <v>5</v>
      </c>
      <c r="P699">
        <v>2</v>
      </c>
      <c r="Q699" t="str">
        <f t="shared" si="10"/>
        <v>GOOD</v>
      </c>
    </row>
    <row r="700" spans="1:17" x14ac:dyDescent="0.25">
      <c r="A700" s="3" t="s">
        <v>1486</v>
      </c>
      <c r="B700" s="3" t="s">
        <v>1487</v>
      </c>
      <c r="C700" s="3" t="s">
        <v>18</v>
      </c>
      <c r="D700" s="3">
        <v>54</v>
      </c>
      <c r="E700" s="3" t="s">
        <v>66</v>
      </c>
      <c r="F700" s="3" t="s">
        <v>28</v>
      </c>
      <c r="G700" s="3" t="s">
        <v>125</v>
      </c>
      <c r="H700" s="3">
        <v>9</v>
      </c>
      <c r="I700" s="4">
        <v>100</v>
      </c>
      <c r="K700" s="3" t="s">
        <v>37</v>
      </c>
      <c r="L700" s="3">
        <v>0.72</v>
      </c>
      <c r="M700" s="3" t="s">
        <v>79</v>
      </c>
      <c r="N700" s="3" t="s">
        <v>23</v>
      </c>
      <c r="O700" s="3">
        <v>13</v>
      </c>
      <c r="P700" s="3">
        <v>10</v>
      </c>
      <c r="Q700" s="3" t="str">
        <f t="shared" si="10"/>
        <v>Average</v>
      </c>
    </row>
    <row r="701" spans="1:17" customFormat="1" hidden="1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s="1" t="s">
        <v>109</v>
      </c>
      <c r="J701">
        <v>4.4000000000000004</v>
      </c>
      <c r="K701" t="s">
        <v>85</v>
      </c>
      <c r="L701">
        <v>0.83</v>
      </c>
      <c r="M701" t="s">
        <v>22</v>
      </c>
      <c r="N701" t="s">
        <v>31</v>
      </c>
      <c r="O701">
        <v>18</v>
      </c>
      <c r="P701">
        <v>10</v>
      </c>
      <c r="Q701" t="str">
        <f t="shared" si="10"/>
        <v>GOOD</v>
      </c>
    </row>
    <row r="702" spans="1:17" x14ac:dyDescent="0.25">
      <c r="A702" s="3" t="s">
        <v>1490</v>
      </c>
      <c r="B702" s="3" t="s">
        <v>1491</v>
      </c>
      <c r="C702" s="3" t="s">
        <v>18</v>
      </c>
      <c r="D702" s="3">
        <v>47</v>
      </c>
      <c r="E702" s="3" t="s">
        <v>71</v>
      </c>
      <c r="F702" s="3" t="s">
        <v>72</v>
      </c>
      <c r="G702" s="3" t="s">
        <v>36</v>
      </c>
      <c r="H702" s="3">
        <v>22</v>
      </c>
      <c r="I702" s="4">
        <v>100</v>
      </c>
      <c r="J702" s="3">
        <v>4.4000000000000004</v>
      </c>
      <c r="K702" s="3" t="s">
        <v>170</v>
      </c>
      <c r="L702" s="3">
        <v>0.7</v>
      </c>
      <c r="M702" s="3" t="s">
        <v>74</v>
      </c>
      <c r="N702" s="3" t="s">
        <v>38</v>
      </c>
      <c r="O702" s="3">
        <v>17</v>
      </c>
      <c r="P702" s="3">
        <v>16</v>
      </c>
      <c r="Q702" s="3" t="str">
        <f t="shared" si="10"/>
        <v>GOOD</v>
      </c>
    </row>
    <row r="703" spans="1:17" x14ac:dyDescent="0.25">
      <c r="A703" s="3" t="s">
        <v>1492</v>
      </c>
      <c r="B703" s="3" t="s">
        <v>1493</v>
      </c>
      <c r="C703" s="3" t="s">
        <v>56</v>
      </c>
      <c r="D703" s="3">
        <v>45</v>
      </c>
      <c r="E703" s="3" t="s">
        <v>135</v>
      </c>
      <c r="F703" s="3" t="s">
        <v>136</v>
      </c>
      <c r="G703" s="3" t="s">
        <v>21</v>
      </c>
      <c r="H703" s="3">
        <v>25</v>
      </c>
      <c r="I703" s="4">
        <v>50</v>
      </c>
      <c r="J703" s="3">
        <v>0</v>
      </c>
      <c r="K703" s="3" t="s">
        <v>170</v>
      </c>
      <c r="L703" s="3">
        <v>99</v>
      </c>
      <c r="M703" s="3" t="s">
        <v>22</v>
      </c>
      <c r="N703" s="3" t="s">
        <v>38</v>
      </c>
      <c r="O703" s="3">
        <v>17</v>
      </c>
      <c r="P703" s="3">
        <v>3</v>
      </c>
      <c r="Q703" s="3" t="str">
        <f t="shared" si="10"/>
        <v>Average</v>
      </c>
    </row>
    <row r="704" spans="1:17" x14ac:dyDescent="0.25">
      <c r="A704" s="3" t="s">
        <v>1494</v>
      </c>
      <c r="B704" s="3" t="s">
        <v>1495</v>
      </c>
      <c r="C704" s="3" t="s">
        <v>103</v>
      </c>
      <c r="D704" s="3">
        <v>45</v>
      </c>
      <c r="E704" s="3" t="s">
        <v>186</v>
      </c>
      <c r="F704" s="3" t="s">
        <v>187</v>
      </c>
      <c r="G704" s="3" t="s">
        <v>59</v>
      </c>
      <c r="H704" s="3">
        <v>6</v>
      </c>
      <c r="I704" s="4">
        <v>50</v>
      </c>
      <c r="J704" s="3">
        <v>1.4</v>
      </c>
      <c r="L704" s="3">
        <v>97</v>
      </c>
      <c r="M704" s="3" t="s">
        <v>22</v>
      </c>
      <c r="N704" s="3" t="s">
        <v>31</v>
      </c>
      <c r="O704" s="3">
        <v>6</v>
      </c>
      <c r="P704" s="3">
        <v>5</v>
      </c>
      <c r="Q704" s="3" t="str">
        <f t="shared" si="10"/>
        <v>Average</v>
      </c>
    </row>
    <row r="705" spans="1:17" x14ac:dyDescent="0.25">
      <c r="A705" s="3" t="s">
        <v>1496</v>
      </c>
      <c r="B705" s="3" t="s">
        <v>1497</v>
      </c>
      <c r="C705" s="3" t="s">
        <v>103</v>
      </c>
      <c r="D705" s="3">
        <v>35</v>
      </c>
      <c r="E705" s="3" t="s">
        <v>139</v>
      </c>
      <c r="F705" s="3" t="s">
        <v>28</v>
      </c>
      <c r="G705" s="3" t="s">
        <v>125</v>
      </c>
      <c r="H705" s="3">
        <v>10</v>
      </c>
      <c r="I705" s="4">
        <v>20</v>
      </c>
      <c r="J705" s="3">
        <v>3.2</v>
      </c>
      <c r="K705" s="3" t="b">
        <v>1</v>
      </c>
      <c r="L705" s="3">
        <v>0.77</v>
      </c>
      <c r="M705" s="3" t="s">
        <v>22</v>
      </c>
      <c r="N705" s="3" t="s">
        <v>31</v>
      </c>
      <c r="O705" s="3">
        <v>6</v>
      </c>
      <c r="P705" s="3">
        <v>10</v>
      </c>
      <c r="Q705" s="3" t="str">
        <f t="shared" si="10"/>
        <v>Average</v>
      </c>
    </row>
    <row r="706" spans="1:17" customFormat="1" hidden="1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s="1" t="s">
        <v>109</v>
      </c>
      <c r="J706">
        <v>2</v>
      </c>
      <c r="K706" t="s">
        <v>170</v>
      </c>
      <c r="L706">
        <v>0.92</v>
      </c>
      <c r="M706" t="s">
        <v>53</v>
      </c>
      <c r="N706" t="s">
        <v>67</v>
      </c>
      <c r="O706">
        <v>2</v>
      </c>
      <c r="P706">
        <v>2</v>
      </c>
      <c r="Q706" t="str">
        <f t="shared" ref="Q706:Q769" si="11">IF(J706&lt;3.5,"Average","GOOD")</f>
        <v>Average</v>
      </c>
    </row>
    <row r="707" spans="1:17" x14ac:dyDescent="0.25">
      <c r="A707" s="3" t="s">
        <v>1500</v>
      </c>
      <c r="B707" s="3" t="s">
        <v>1501</v>
      </c>
      <c r="C707" s="3" t="s">
        <v>41</v>
      </c>
      <c r="D707" s="3">
        <v>34</v>
      </c>
      <c r="E707" s="3" t="s">
        <v>201</v>
      </c>
      <c r="F707" s="3" t="s">
        <v>83</v>
      </c>
      <c r="G707" s="3" t="s">
        <v>29</v>
      </c>
      <c r="H707" s="3">
        <v>11</v>
      </c>
      <c r="I707" s="4">
        <v>50</v>
      </c>
      <c r="J707" s="3">
        <v>3.3</v>
      </c>
      <c r="K707" s="3" t="s">
        <v>78</v>
      </c>
      <c r="L707" s="3">
        <v>0.76</v>
      </c>
      <c r="M707" s="3" t="s">
        <v>74</v>
      </c>
      <c r="N707" s="3" t="s">
        <v>31</v>
      </c>
      <c r="O707" s="3">
        <v>9</v>
      </c>
      <c r="P707" s="3">
        <v>4</v>
      </c>
      <c r="Q707" s="3" t="str">
        <f t="shared" si="11"/>
        <v>Average</v>
      </c>
    </row>
    <row r="708" spans="1:17" customFormat="1" hidden="1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s="1" t="s">
        <v>73</v>
      </c>
      <c r="J708">
        <v>0</v>
      </c>
      <c r="K708" t="s">
        <v>85</v>
      </c>
      <c r="L708">
        <v>0.97</v>
      </c>
      <c r="M708" t="s">
        <v>74</v>
      </c>
      <c r="N708" t="s">
        <v>67</v>
      </c>
      <c r="O708">
        <v>1</v>
      </c>
      <c r="P708">
        <v>1</v>
      </c>
      <c r="Q708" t="str">
        <f t="shared" si="11"/>
        <v>Average</v>
      </c>
    </row>
    <row r="709" spans="1:17" customFormat="1" hidden="1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s="1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  <c r="Q709" t="str">
        <f t="shared" si="11"/>
        <v>Average</v>
      </c>
    </row>
    <row r="710" spans="1:17" customFormat="1" hidden="1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s="1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  <c r="Q710" t="str">
        <f t="shared" si="11"/>
        <v>Average</v>
      </c>
    </row>
    <row r="711" spans="1:17" x14ac:dyDescent="0.25">
      <c r="A711" s="3" t="s">
        <v>1508</v>
      </c>
      <c r="B711" s="3" t="s">
        <v>1509</v>
      </c>
      <c r="C711" s="3" t="s">
        <v>70</v>
      </c>
      <c r="E711" s="3" t="s">
        <v>135</v>
      </c>
      <c r="F711" s="3" t="s">
        <v>136</v>
      </c>
      <c r="G711" s="3" t="s">
        <v>51</v>
      </c>
      <c r="H711" s="3">
        <v>12</v>
      </c>
      <c r="I711" s="4">
        <v>30</v>
      </c>
      <c r="J711" s="3">
        <v>2.6</v>
      </c>
      <c r="K711" s="3" t="s">
        <v>85</v>
      </c>
      <c r="M711" s="3" t="s">
        <v>53</v>
      </c>
      <c r="N711" s="3" t="s">
        <v>31</v>
      </c>
      <c r="O711" s="3">
        <v>6</v>
      </c>
      <c r="P711" s="3">
        <v>10</v>
      </c>
      <c r="Q711" s="3" t="str">
        <f t="shared" si="11"/>
        <v>Average</v>
      </c>
    </row>
    <row r="712" spans="1:17" x14ac:dyDescent="0.25">
      <c r="A712" s="3" t="s">
        <v>1510</v>
      </c>
      <c r="B712" s="3" t="s">
        <v>1511</v>
      </c>
      <c r="C712" s="3" t="s">
        <v>103</v>
      </c>
      <c r="D712" s="3">
        <v>56</v>
      </c>
      <c r="E712" s="3" t="s">
        <v>164</v>
      </c>
      <c r="F712" s="3" t="s">
        <v>165</v>
      </c>
      <c r="G712" s="3" t="s">
        <v>125</v>
      </c>
      <c r="H712" s="3">
        <v>30</v>
      </c>
      <c r="I712" s="4">
        <v>40</v>
      </c>
      <c r="J712" s="3">
        <v>3.3</v>
      </c>
      <c r="K712" s="3" t="s">
        <v>78</v>
      </c>
      <c r="L712" s="3">
        <v>0.82</v>
      </c>
      <c r="M712" s="3" t="s">
        <v>74</v>
      </c>
      <c r="N712" s="3" t="s">
        <v>38</v>
      </c>
      <c r="O712" s="3">
        <v>12</v>
      </c>
      <c r="P712" s="3">
        <v>3</v>
      </c>
      <c r="Q712" s="3" t="str">
        <f t="shared" si="11"/>
        <v>Average</v>
      </c>
    </row>
    <row r="713" spans="1:17" x14ac:dyDescent="0.25">
      <c r="A713" s="3" t="s">
        <v>1512</v>
      </c>
      <c r="B713" s="3" t="s">
        <v>1513</v>
      </c>
      <c r="C713" s="3" t="s">
        <v>18</v>
      </c>
      <c r="D713" s="3">
        <v>58</v>
      </c>
      <c r="E713" s="3" t="s">
        <v>139</v>
      </c>
      <c r="F713" s="3" t="s">
        <v>28</v>
      </c>
      <c r="G713" s="3" t="s">
        <v>89</v>
      </c>
      <c r="H713" s="3">
        <v>20</v>
      </c>
      <c r="I713" s="4">
        <v>75</v>
      </c>
      <c r="J713" s="3">
        <v>3.6</v>
      </c>
      <c r="K713" s="3" t="s">
        <v>78</v>
      </c>
      <c r="L713" s="3">
        <v>0.78</v>
      </c>
      <c r="M713" s="3" t="s">
        <v>53</v>
      </c>
      <c r="N713" s="3" t="s">
        <v>23</v>
      </c>
      <c r="O713" s="3">
        <v>11</v>
      </c>
      <c r="P713" s="3">
        <v>13</v>
      </c>
      <c r="Q713" s="3" t="str">
        <f t="shared" si="11"/>
        <v>GOOD</v>
      </c>
    </row>
    <row r="714" spans="1:17" x14ac:dyDescent="0.25">
      <c r="A714" s="3" t="s">
        <v>1514</v>
      </c>
      <c r="B714" s="3" t="s">
        <v>1515</v>
      </c>
      <c r="C714" s="3" t="s">
        <v>18</v>
      </c>
      <c r="D714" s="3">
        <v>58</v>
      </c>
      <c r="E714" s="3" t="s">
        <v>66</v>
      </c>
      <c r="F714" s="3" t="s">
        <v>28</v>
      </c>
      <c r="G714" s="3" t="s">
        <v>89</v>
      </c>
      <c r="H714" s="3">
        <v>22</v>
      </c>
      <c r="I714" s="4">
        <v>100</v>
      </c>
      <c r="J714" s="3">
        <v>3.7</v>
      </c>
      <c r="K714" s="3">
        <v>0</v>
      </c>
      <c r="M714" s="3" t="s">
        <v>53</v>
      </c>
      <c r="N714" s="3" t="s">
        <v>67</v>
      </c>
      <c r="O714" s="3">
        <v>13</v>
      </c>
      <c r="P714" s="3">
        <v>8</v>
      </c>
      <c r="Q714" s="3" t="str">
        <f t="shared" si="11"/>
        <v>GOOD</v>
      </c>
    </row>
    <row r="715" spans="1:17" customFormat="1" hidden="1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s="1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  <c r="Q715" t="str">
        <f t="shared" si="11"/>
        <v>Average</v>
      </c>
    </row>
    <row r="716" spans="1:17" x14ac:dyDescent="0.25">
      <c r="A716" s="3" t="s">
        <v>1518</v>
      </c>
      <c r="B716" s="3" t="s">
        <v>1519</v>
      </c>
      <c r="C716" s="3" t="s">
        <v>34</v>
      </c>
      <c r="D716" s="3">
        <v>53</v>
      </c>
      <c r="E716" s="3" t="s">
        <v>27</v>
      </c>
      <c r="F716" s="3" t="s">
        <v>28</v>
      </c>
      <c r="G716" s="3" t="s">
        <v>84</v>
      </c>
      <c r="H716" s="3">
        <v>9</v>
      </c>
      <c r="I716" s="4">
        <v>50</v>
      </c>
      <c r="J716" s="3">
        <v>4</v>
      </c>
      <c r="K716" s="3" t="s">
        <v>85</v>
      </c>
      <c r="L716" s="3">
        <v>0.72</v>
      </c>
      <c r="M716" s="3" t="s">
        <v>79</v>
      </c>
      <c r="N716" s="3" t="s">
        <v>67</v>
      </c>
      <c r="O716" s="3">
        <v>14</v>
      </c>
      <c r="P716" s="3">
        <v>2</v>
      </c>
      <c r="Q716" s="3" t="str">
        <f t="shared" si="11"/>
        <v>GOOD</v>
      </c>
    </row>
    <row r="717" spans="1:17" x14ac:dyDescent="0.25">
      <c r="A717" s="3" t="s">
        <v>1520</v>
      </c>
      <c r="B717" s="3" t="s">
        <v>1521</v>
      </c>
      <c r="C717" s="3" t="s">
        <v>88</v>
      </c>
      <c r="D717" s="3">
        <v>43</v>
      </c>
      <c r="E717" s="3" t="s">
        <v>27</v>
      </c>
      <c r="F717" s="3" t="s">
        <v>28</v>
      </c>
      <c r="G717" s="3" t="s">
        <v>42</v>
      </c>
      <c r="H717" s="3">
        <v>22</v>
      </c>
      <c r="I717" s="4">
        <v>40</v>
      </c>
      <c r="J717" s="3">
        <v>4.5</v>
      </c>
      <c r="M717" s="3" t="s">
        <v>22</v>
      </c>
      <c r="N717" s="3" t="s">
        <v>38</v>
      </c>
      <c r="O717" s="3">
        <v>16</v>
      </c>
      <c r="P717" s="3">
        <v>6</v>
      </c>
      <c r="Q717" s="3" t="str">
        <f t="shared" si="11"/>
        <v>GOOD</v>
      </c>
    </row>
    <row r="718" spans="1:17" x14ac:dyDescent="0.25">
      <c r="A718" s="3" t="s">
        <v>1522</v>
      </c>
      <c r="B718" s="3" t="s">
        <v>1523</v>
      </c>
      <c r="C718" s="3" t="s">
        <v>103</v>
      </c>
      <c r="D718" s="3">
        <v>44</v>
      </c>
      <c r="E718" s="3" t="s">
        <v>123</v>
      </c>
      <c r="F718" s="3" t="s">
        <v>124</v>
      </c>
      <c r="G718" s="3" t="s">
        <v>125</v>
      </c>
      <c r="H718" s="3">
        <v>1</v>
      </c>
      <c r="I718" s="4">
        <v>75</v>
      </c>
      <c r="J718" s="3">
        <v>4.3</v>
      </c>
      <c r="K718" s="3">
        <v>1</v>
      </c>
      <c r="M718" s="3" t="s">
        <v>74</v>
      </c>
      <c r="N718" s="3" t="s">
        <v>38</v>
      </c>
      <c r="O718" s="3">
        <v>1</v>
      </c>
      <c r="P718" s="3">
        <v>1</v>
      </c>
      <c r="Q718" s="3" t="str">
        <f t="shared" si="11"/>
        <v>GOOD</v>
      </c>
    </row>
    <row r="719" spans="1:17" x14ac:dyDescent="0.25">
      <c r="A719" s="3" t="s">
        <v>1524</v>
      </c>
      <c r="B719" s="3" t="s">
        <v>1525</v>
      </c>
      <c r="C719" s="3" t="s">
        <v>103</v>
      </c>
      <c r="D719" s="3">
        <v>34</v>
      </c>
      <c r="E719" s="3" t="s">
        <v>139</v>
      </c>
      <c r="F719" s="3" t="s">
        <v>28</v>
      </c>
      <c r="G719" s="3" t="s">
        <v>89</v>
      </c>
      <c r="H719" s="3">
        <v>4</v>
      </c>
      <c r="I719" s="4">
        <v>75</v>
      </c>
      <c r="J719" s="3">
        <v>4</v>
      </c>
      <c r="K719" s="3">
        <v>1</v>
      </c>
      <c r="M719" s="3" t="s">
        <v>74</v>
      </c>
      <c r="N719" s="3" t="s">
        <v>67</v>
      </c>
      <c r="O719" s="3">
        <v>3</v>
      </c>
      <c r="P719" s="3">
        <v>2</v>
      </c>
      <c r="Q719" s="3" t="str">
        <f t="shared" si="11"/>
        <v>GOOD</v>
      </c>
    </row>
    <row r="720" spans="1:17" customFormat="1" hidden="1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s="1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  <c r="Q720" t="str">
        <f t="shared" si="11"/>
        <v>Average</v>
      </c>
    </row>
    <row r="721" spans="1:17" x14ac:dyDescent="0.25">
      <c r="A721" s="3" t="s">
        <v>1528</v>
      </c>
      <c r="B721" s="3" t="s">
        <v>1529</v>
      </c>
      <c r="C721" s="3" t="s">
        <v>56</v>
      </c>
      <c r="D721" s="3">
        <v>50</v>
      </c>
      <c r="E721" s="3" t="s">
        <v>96</v>
      </c>
      <c r="F721" s="3" t="s">
        <v>97</v>
      </c>
      <c r="G721" s="3" t="s">
        <v>59</v>
      </c>
      <c r="H721" s="3">
        <v>3</v>
      </c>
      <c r="I721" s="4">
        <v>100</v>
      </c>
      <c r="J721" s="3">
        <v>0</v>
      </c>
      <c r="K721" s="3" t="s">
        <v>85</v>
      </c>
      <c r="M721" s="3" t="s">
        <v>22</v>
      </c>
      <c r="N721" s="3" t="s">
        <v>38</v>
      </c>
      <c r="O721" s="3">
        <v>2</v>
      </c>
      <c r="P721" s="3">
        <v>2</v>
      </c>
      <c r="Q721" s="3" t="str">
        <f t="shared" si="11"/>
        <v>Average</v>
      </c>
    </row>
    <row r="722" spans="1:17" x14ac:dyDescent="0.25">
      <c r="A722" s="3" t="s">
        <v>1530</v>
      </c>
      <c r="B722" s="3" t="s">
        <v>1531</v>
      </c>
      <c r="C722" s="3" t="s">
        <v>46</v>
      </c>
      <c r="D722" s="3">
        <v>52</v>
      </c>
      <c r="E722" s="3" t="s">
        <v>123</v>
      </c>
      <c r="F722" s="3" t="s">
        <v>124</v>
      </c>
      <c r="G722" s="3" t="s">
        <v>84</v>
      </c>
      <c r="H722" s="3">
        <v>30</v>
      </c>
      <c r="I722" s="4">
        <v>75</v>
      </c>
      <c r="K722" s="3" t="s">
        <v>170</v>
      </c>
      <c r="L722" s="3">
        <v>0.94</v>
      </c>
      <c r="M722" s="3" t="s">
        <v>74</v>
      </c>
      <c r="N722" s="3" t="s">
        <v>38</v>
      </c>
      <c r="O722" s="3">
        <v>10</v>
      </c>
      <c r="P722" s="3">
        <v>6</v>
      </c>
      <c r="Q722" s="3" t="str">
        <f t="shared" si="11"/>
        <v>Average</v>
      </c>
    </row>
    <row r="723" spans="1:17" customFormat="1" hidden="1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s="1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  <c r="Q723" t="str">
        <f t="shared" si="11"/>
        <v>GOOD</v>
      </c>
    </row>
    <row r="724" spans="1:17" x14ac:dyDescent="0.25">
      <c r="A724" s="3" t="s">
        <v>1534</v>
      </c>
      <c r="B724" s="3" t="s">
        <v>1535</v>
      </c>
      <c r="C724" s="3" t="s">
        <v>46</v>
      </c>
      <c r="D724" s="3">
        <v>53</v>
      </c>
      <c r="E724" s="3" t="s">
        <v>190</v>
      </c>
      <c r="F724" s="3" t="s">
        <v>83</v>
      </c>
      <c r="G724" s="3" t="s">
        <v>100</v>
      </c>
      <c r="H724" s="3">
        <v>8</v>
      </c>
      <c r="I724" s="4">
        <v>20</v>
      </c>
      <c r="J724" s="3">
        <v>2.8</v>
      </c>
      <c r="K724" s="3" t="b">
        <v>1</v>
      </c>
      <c r="M724" s="3" t="s">
        <v>74</v>
      </c>
      <c r="N724" s="3" t="s">
        <v>23</v>
      </c>
      <c r="O724" s="3">
        <v>9</v>
      </c>
      <c r="P724" s="3">
        <v>2</v>
      </c>
      <c r="Q724" s="3" t="str">
        <f t="shared" si="11"/>
        <v>Average</v>
      </c>
    </row>
    <row r="725" spans="1:17" customFormat="1" hidden="1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s="1" t="s">
        <v>120</v>
      </c>
      <c r="J725">
        <v>3.6</v>
      </c>
      <c r="K725" t="s">
        <v>85</v>
      </c>
      <c r="L725">
        <v>0.77</v>
      </c>
      <c r="M725" t="s">
        <v>53</v>
      </c>
      <c r="N725" t="s">
        <v>23</v>
      </c>
      <c r="O725">
        <v>7</v>
      </c>
      <c r="P725">
        <v>3</v>
      </c>
      <c r="Q725" t="str">
        <f t="shared" si="11"/>
        <v>GOOD</v>
      </c>
    </row>
    <row r="726" spans="1:17" customFormat="1" hidden="1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s="1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  <c r="Q726" t="str">
        <f t="shared" si="11"/>
        <v>Average</v>
      </c>
    </row>
    <row r="727" spans="1:17" x14ac:dyDescent="0.25">
      <c r="A727" s="3" t="s">
        <v>1540</v>
      </c>
      <c r="B727" s="3" t="s">
        <v>1541</v>
      </c>
      <c r="C727" s="3" t="s">
        <v>70</v>
      </c>
      <c r="D727" s="3">
        <v>40</v>
      </c>
      <c r="E727" s="3" t="s">
        <v>201</v>
      </c>
      <c r="F727" s="3" t="s">
        <v>83</v>
      </c>
      <c r="G727" s="3" t="s">
        <v>42</v>
      </c>
      <c r="H727" s="3">
        <v>7</v>
      </c>
      <c r="I727" s="4">
        <v>40</v>
      </c>
      <c r="J727" s="3">
        <v>4.5</v>
      </c>
      <c r="L727" s="3">
        <v>79</v>
      </c>
      <c r="M727" s="3" t="s">
        <v>53</v>
      </c>
      <c r="N727" s="3" t="s">
        <v>67</v>
      </c>
      <c r="O727" s="3">
        <v>15</v>
      </c>
      <c r="P727" s="3">
        <v>6</v>
      </c>
      <c r="Q727" s="3" t="str">
        <f t="shared" si="11"/>
        <v>GOOD</v>
      </c>
    </row>
    <row r="728" spans="1:17" customFormat="1" hidden="1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s="1" t="s">
        <v>63</v>
      </c>
      <c r="J728">
        <v>3.1</v>
      </c>
      <c r="K728">
        <v>0</v>
      </c>
      <c r="L728">
        <v>0.69</v>
      </c>
      <c r="M728" t="s">
        <v>74</v>
      </c>
      <c r="N728" t="s">
        <v>23</v>
      </c>
      <c r="O728">
        <v>18</v>
      </c>
      <c r="P728">
        <v>12</v>
      </c>
      <c r="Q728" t="str">
        <f t="shared" si="11"/>
        <v>Average</v>
      </c>
    </row>
    <row r="729" spans="1:17" x14ac:dyDescent="0.25">
      <c r="A729" s="3" t="s">
        <v>1544</v>
      </c>
      <c r="B729" s="3" t="s">
        <v>1545</v>
      </c>
      <c r="C729" s="3" t="s">
        <v>103</v>
      </c>
      <c r="D729" s="3">
        <v>60</v>
      </c>
      <c r="E729" s="3" t="s">
        <v>146</v>
      </c>
      <c r="F729" s="3" t="s">
        <v>147</v>
      </c>
      <c r="G729" s="3" t="s">
        <v>84</v>
      </c>
      <c r="H729" s="3">
        <v>0</v>
      </c>
      <c r="I729" s="4">
        <v>40</v>
      </c>
      <c r="J729" s="3">
        <v>4.9000000000000004</v>
      </c>
      <c r="K729" s="3" t="s">
        <v>85</v>
      </c>
      <c r="L729" s="3">
        <v>0.68</v>
      </c>
      <c r="M729" s="3" t="s">
        <v>74</v>
      </c>
      <c r="N729" s="3" t="s">
        <v>67</v>
      </c>
      <c r="O729" s="3">
        <v>5</v>
      </c>
      <c r="P729" s="3">
        <v>1</v>
      </c>
      <c r="Q729" s="3" t="str">
        <f t="shared" si="11"/>
        <v>GOOD</v>
      </c>
    </row>
    <row r="730" spans="1:17" customFormat="1" hidden="1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s="1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  <c r="Q730" t="str">
        <f t="shared" si="11"/>
        <v>GOOD</v>
      </c>
    </row>
    <row r="731" spans="1:17" x14ac:dyDescent="0.25">
      <c r="A731" s="3" t="s">
        <v>1548</v>
      </c>
      <c r="B731" s="3" t="s">
        <v>1549</v>
      </c>
      <c r="C731" s="3" t="s">
        <v>88</v>
      </c>
      <c r="D731" s="3">
        <v>20</v>
      </c>
      <c r="E731" s="3" t="s">
        <v>190</v>
      </c>
      <c r="F731" s="3" t="s">
        <v>83</v>
      </c>
      <c r="G731" s="3" t="s">
        <v>21</v>
      </c>
      <c r="H731" s="3">
        <v>0</v>
      </c>
      <c r="I731" s="4">
        <v>75</v>
      </c>
      <c r="J731" s="3">
        <v>3.2</v>
      </c>
      <c r="K731" s="3">
        <v>1</v>
      </c>
      <c r="L731" s="3">
        <v>0.74</v>
      </c>
      <c r="M731" s="3" t="s">
        <v>79</v>
      </c>
      <c r="N731" s="3" t="s">
        <v>67</v>
      </c>
      <c r="O731" s="3">
        <v>2</v>
      </c>
      <c r="P731" s="3">
        <v>2</v>
      </c>
      <c r="Q731" s="3" t="str">
        <f t="shared" si="11"/>
        <v>Average</v>
      </c>
    </row>
    <row r="732" spans="1:17" customFormat="1" hidden="1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s="1" t="s">
        <v>325</v>
      </c>
      <c r="K732" t="b">
        <v>0</v>
      </c>
      <c r="L732">
        <v>1</v>
      </c>
      <c r="M732" t="s">
        <v>79</v>
      </c>
      <c r="N732" t="s">
        <v>23</v>
      </c>
      <c r="O732">
        <v>15</v>
      </c>
      <c r="P732">
        <v>14</v>
      </c>
      <c r="Q732" t="str">
        <f t="shared" si="11"/>
        <v>Average</v>
      </c>
    </row>
    <row r="733" spans="1:17" x14ac:dyDescent="0.25">
      <c r="A733" s="3" t="s">
        <v>1552</v>
      </c>
      <c r="B733" s="3" t="s">
        <v>1553</v>
      </c>
      <c r="C733" s="3" t="s">
        <v>103</v>
      </c>
      <c r="D733" s="3">
        <v>21</v>
      </c>
      <c r="E733" s="3" t="s">
        <v>77</v>
      </c>
      <c r="F733" s="3" t="s">
        <v>28</v>
      </c>
      <c r="G733" s="3" t="s">
        <v>29</v>
      </c>
      <c r="H733" s="3">
        <v>3</v>
      </c>
      <c r="I733" s="4">
        <v>40</v>
      </c>
      <c r="J733" s="3">
        <v>0</v>
      </c>
      <c r="K733" s="3">
        <v>0</v>
      </c>
      <c r="L733" s="3">
        <v>0.87</v>
      </c>
      <c r="M733" s="3" t="s">
        <v>22</v>
      </c>
      <c r="N733" s="3" t="s">
        <v>67</v>
      </c>
      <c r="O733" s="3">
        <v>1</v>
      </c>
      <c r="P733" s="3">
        <v>1</v>
      </c>
      <c r="Q733" s="3" t="str">
        <f t="shared" si="11"/>
        <v>Average</v>
      </c>
    </row>
    <row r="734" spans="1:17" x14ac:dyDescent="0.25">
      <c r="A734" s="3" t="s">
        <v>1554</v>
      </c>
      <c r="B734" s="3" t="s">
        <v>1555</v>
      </c>
      <c r="C734" s="3" t="s">
        <v>56</v>
      </c>
      <c r="D734" s="3">
        <v>39</v>
      </c>
      <c r="E734" s="3" t="s">
        <v>35</v>
      </c>
      <c r="F734" s="3" t="s">
        <v>35</v>
      </c>
      <c r="G734" s="3" t="s">
        <v>42</v>
      </c>
      <c r="H734" s="3">
        <v>21</v>
      </c>
      <c r="I734" s="4">
        <v>100</v>
      </c>
      <c r="J734" s="3">
        <v>2.2000000000000002</v>
      </c>
      <c r="K734" s="3">
        <v>0</v>
      </c>
      <c r="L734" s="3">
        <v>0.79</v>
      </c>
      <c r="M734" s="3" t="s">
        <v>74</v>
      </c>
      <c r="N734" s="3" t="s">
        <v>23</v>
      </c>
      <c r="O734" s="3">
        <v>12</v>
      </c>
      <c r="P734" s="3">
        <v>13</v>
      </c>
      <c r="Q734" s="3" t="str">
        <f t="shared" si="11"/>
        <v>Average</v>
      </c>
    </row>
    <row r="735" spans="1:17" x14ac:dyDescent="0.25">
      <c r="A735" s="3" t="s">
        <v>1556</v>
      </c>
      <c r="B735" s="3" t="s">
        <v>1557</v>
      </c>
      <c r="C735" s="3" t="s">
        <v>56</v>
      </c>
      <c r="D735" s="3">
        <v>32</v>
      </c>
      <c r="E735" s="3" t="s">
        <v>104</v>
      </c>
      <c r="F735" s="3" t="s">
        <v>105</v>
      </c>
      <c r="G735" s="3" t="s">
        <v>21</v>
      </c>
      <c r="I735" s="4">
        <v>30</v>
      </c>
      <c r="J735" s="3">
        <v>1.5</v>
      </c>
      <c r="K735" s="3">
        <v>0</v>
      </c>
      <c r="L735" s="3">
        <v>0.68</v>
      </c>
      <c r="M735" s="3" t="s">
        <v>53</v>
      </c>
      <c r="N735" s="3" t="s">
        <v>67</v>
      </c>
      <c r="O735" s="3">
        <v>4</v>
      </c>
      <c r="P735" s="3">
        <v>1</v>
      </c>
      <c r="Q735" s="3" t="str">
        <f t="shared" si="11"/>
        <v>Average</v>
      </c>
    </row>
    <row r="736" spans="1:17" customFormat="1" hidden="1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s="1" t="s">
        <v>30</v>
      </c>
      <c r="K736">
        <v>0</v>
      </c>
      <c r="L736">
        <v>0.84</v>
      </c>
      <c r="M736" t="s">
        <v>79</v>
      </c>
      <c r="N736" t="s">
        <v>23</v>
      </c>
      <c r="O736">
        <v>1</v>
      </c>
      <c r="P736">
        <v>2</v>
      </c>
      <c r="Q736" t="str">
        <f t="shared" si="11"/>
        <v>Average</v>
      </c>
    </row>
    <row r="737" spans="1:17" x14ac:dyDescent="0.25">
      <c r="A737" s="3" t="s">
        <v>1560</v>
      </c>
      <c r="B737" s="3" t="s">
        <v>1561</v>
      </c>
      <c r="C737" s="3" t="s">
        <v>18</v>
      </c>
      <c r="D737" s="3">
        <v>35</v>
      </c>
      <c r="E737" s="3" t="s">
        <v>146</v>
      </c>
      <c r="F737" s="3" t="s">
        <v>147</v>
      </c>
      <c r="G737" s="3" t="s">
        <v>84</v>
      </c>
      <c r="H737" s="3">
        <v>17</v>
      </c>
      <c r="I737" s="4">
        <v>50</v>
      </c>
      <c r="J737" s="3">
        <v>3.1</v>
      </c>
      <c r="K737" s="3">
        <v>0</v>
      </c>
      <c r="L737" s="3">
        <v>0.71</v>
      </c>
      <c r="M737" s="3" t="s">
        <v>74</v>
      </c>
      <c r="N737" s="3" t="s">
        <v>23</v>
      </c>
      <c r="O737" s="3">
        <v>10</v>
      </c>
      <c r="P737" s="3">
        <v>2</v>
      </c>
      <c r="Q737" s="3" t="str">
        <f t="shared" si="11"/>
        <v>Average</v>
      </c>
    </row>
    <row r="738" spans="1:17" x14ac:dyDescent="0.25">
      <c r="A738" s="3" t="s">
        <v>1562</v>
      </c>
      <c r="B738" s="3" t="s">
        <v>1563</v>
      </c>
      <c r="C738" s="3" t="s">
        <v>26</v>
      </c>
      <c r="D738" s="3">
        <v>23</v>
      </c>
      <c r="E738" s="3" t="s">
        <v>82</v>
      </c>
      <c r="F738" s="3" t="s">
        <v>83</v>
      </c>
      <c r="G738" s="3" t="s">
        <v>84</v>
      </c>
      <c r="H738" s="3">
        <v>0</v>
      </c>
      <c r="I738" s="4">
        <v>75</v>
      </c>
      <c r="J738" s="3">
        <v>0</v>
      </c>
      <c r="K738" s="3" t="s">
        <v>170</v>
      </c>
      <c r="L738" s="3">
        <v>0.92</v>
      </c>
      <c r="M738" s="3" t="s">
        <v>74</v>
      </c>
      <c r="N738" s="3" t="s">
        <v>67</v>
      </c>
      <c r="O738" s="3">
        <v>1</v>
      </c>
      <c r="P738" s="3">
        <v>2</v>
      </c>
      <c r="Q738" s="3" t="str">
        <f t="shared" si="11"/>
        <v>Average</v>
      </c>
    </row>
    <row r="739" spans="1:17" customFormat="1" hidden="1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s="1" t="s">
        <v>30</v>
      </c>
      <c r="K739" t="s">
        <v>170</v>
      </c>
      <c r="L739">
        <v>0.69</v>
      </c>
      <c r="M739" t="s">
        <v>79</v>
      </c>
      <c r="N739" t="s">
        <v>31</v>
      </c>
      <c r="O739">
        <v>8</v>
      </c>
      <c r="P739">
        <v>9</v>
      </c>
      <c r="Q739" t="str">
        <f t="shared" si="11"/>
        <v>Average</v>
      </c>
    </row>
    <row r="740" spans="1:17" customFormat="1" hidden="1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I740" s="1"/>
      <c r="J740">
        <v>0</v>
      </c>
      <c r="K740">
        <v>1</v>
      </c>
      <c r="L740">
        <v>0.71</v>
      </c>
      <c r="M740" t="s">
        <v>22</v>
      </c>
      <c r="N740" t="s">
        <v>38</v>
      </c>
      <c r="O740">
        <v>2</v>
      </c>
      <c r="P740">
        <v>1</v>
      </c>
      <c r="Q740" t="str">
        <f t="shared" si="11"/>
        <v>Average</v>
      </c>
    </row>
    <row r="741" spans="1:17" customFormat="1" hidden="1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I741" s="1"/>
      <c r="K741" t="b">
        <v>0</v>
      </c>
      <c r="L741">
        <v>0.77</v>
      </c>
      <c r="M741" t="s">
        <v>79</v>
      </c>
      <c r="N741" t="s">
        <v>31</v>
      </c>
      <c r="O741">
        <v>2</v>
      </c>
      <c r="P741">
        <v>1</v>
      </c>
      <c r="Q741" t="str">
        <f t="shared" si="11"/>
        <v>Average</v>
      </c>
    </row>
    <row r="742" spans="1:17" x14ac:dyDescent="0.25">
      <c r="A742" s="3" t="s">
        <v>1570</v>
      </c>
      <c r="B742" s="3" t="s">
        <v>1571</v>
      </c>
      <c r="C742" s="3" t="s">
        <v>56</v>
      </c>
      <c r="D742" s="3">
        <v>57</v>
      </c>
      <c r="E742" s="3" t="s">
        <v>19</v>
      </c>
      <c r="F742" s="3" t="s">
        <v>20</v>
      </c>
      <c r="G742" s="3" t="s">
        <v>42</v>
      </c>
      <c r="H742" s="3">
        <v>31</v>
      </c>
      <c r="I742" s="4">
        <v>50</v>
      </c>
      <c r="J742" s="3">
        <v>3</v>
      </c>
      <c r="K742" s="3" t="b">
        <v>1</v>
      </c>
      <c r="L742" s="3">
        <v>0.87</v>
      </c>
      <c r="M742" s="3" t="s">
        <v>79</v>
      </c>
      <c r="N742" s="3" t="s">
        <v>67</v>
      </c>
      <c r="O742" s="3">
        <v>15</v>
      </c>
      <c r="P742" s="3">
        <v>10</v>
      </c>
      <c r="Q742" s="3" t="str">
        <f t="shared" si="11"/>
        <v>Average</v>
      </c>
    </row>
    <row r="743" spans="1:17" customFormat="1" hidden="1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s="1" t="s">
        <v>52</v>
      </c>
      <c r="J743">
        <v>2.6</v>
      </c>
      <c r="K743" t="s">
        <v>170</v>
      </c>
      <c r="L743">
        <v>0.76</v>
      </c>
      <c r="M743" t="s">
        <v>53</v>
      </c>
      <c r="N743" t="s">
        <v>31</v>
      </c>
      <c r="O743">
        <v>2</v>
      </c>
      <c r="P743">
        <v>3</v>
      </c>
      <c r="Q743" t="str">
        <f t="shared" si="11"/>
        <v>Average</v>
      </c>
    </row>
    <row r="744" spans="1:17" customFormat="1" hidden="1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s="1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  <c r="Q744" t="str">
        <f t="shared" si="11"/>
        <v>GOOD</v>
      </c>
    </row>
    <row r="745" spans="1:17" customFormat="1" hidden="1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s="1" t="s">
        <v>109</v>
      </c>
      <c r="J745">
        <v>1.5</v>
      </c>
      <c r="K745" t="b">
        <v>0</v>
      </c>
      <c r="L745">
        <v>0.65</v>
      </c>
      <c r="M745" t="s">
        <v>22</v>
      </c>
      <c r="N745" t="s">
        <v>38</v>
      </c>
      <c r="O745">
        <v>15</v>
      </c>
      <c r="P745">
        <v>6</v>
      </c>
      <c r="Q745" t="str">
        <f t="shared" si="11"/>
        <v>Average</v>
      </c>
    </row>
    <row r="746" spans="1:17" customFormat="1" hidden="1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s="1" t="s">
        <v>109</v>
      </c>
      <c r="J746">
        <v>2.9</v>
      </c>
      <c r="K746" t="s">
        <v>78</v>
      </c>
      <c r="L746">
        <v>0.82</v>
      </c>
      <c r="M746" t="s">
        <v>74</v>
      </c>
      <c r="N746" t="s">
        <v>67</v>
      </c>
      <c r="O746">
        <v>10</v>
      </c>
      <c r="P746">
        <v>13</v>
      </c>
      <c r="Q746" t="str">
        <f t="shared" si="11"/>
        <v>Average</v>
      </c>
    </row>
    <row r="747" spans="1:17" x14ac:dyDescent="0.25">
      <c r="A747" s="3" t="s">
        <v>1580</v>
      </c>
      <c r="B747" s="3" t="s">
        <v>1581</v>
      </c>
      <c r="C747" s="3" t="s">
        <v>34</v>
      </c>
      <c r="D747" s="3">
        <v>59</v>
      </c>
      <c r="E747" s="3" t="s">
        <v>190</v>
      </c>
      <c r="F747" s="3" t="s">
        <v>83</v>
      </c>
      <c r="G747" s="3" t="s">
        <v>51</v>
      </c>
      <c r="H747" s="3">
        <v>0</v>
      </c>
      <c r="I747" s="4">
        <v>100</v>
      </c>
      <c r="J747" s="3">
        <v>0</v>
      </c>
      <c r="K747" s="3" t="s">
        <v>85</v>
      </c>
      <c r="L747" s="3">
        <v>87</v>
      </c>
      <c r="M747" s="3" t="s">
        <v>79</v>
      </c>
      <c r="N747" s="3" t="s">
        <v>67</v>
      </c>
      <c r="O747" s="3">
        <v>4</v>
      </c>
      <c r="P747" s="3">
        <v>4</v>
      </c>
      <c r="Q747" s="3" t="str">
        <f t="shared" si="11"/>
        <v>Average</v>
      </c>
    </row>
    <row r="748" spans="1:17" customFormat="1" hidden="1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s="1" t="s">
        <v>43</v>
      </c>
      <c r="J748">
        <v>4.9000000000000004</v>
      </c>
      <c r="K748" t="s">
        <v>37</v>
      </c>
      <c r="L748">
        <v>1</v>
      </c>
      <c r="M748" t="s">
        <v>22</v>
      </c>
      <c r="N748" t="s">
        <v>67</v>
      </c>
      <c r="O748">
        <v>17</v>
      </c>
      <c r="P748">
        <v>14</v>
      </c>
      <c r="Q748" t="str">
        <f t="shared" si="11"/>
        <v>GOOD</v>
      </c>
    </row>
    <row r="749" spans="1:17" customFormat="1" hidden="1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s="1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  <c r="Q749" t="str">
        <f t="shared" si="11"/>
        <v>Average</v>
      </c>
    </row>
    <row r="750" spans="1:17" x14ac:dyDescent="0.25">
      <c r="A750" s="3" t="s">
        <v>1586</v>
      </c>
      <c r="B750" s="3" t="s">
        <v>1587</v>
      </c>
      <c r="C750" s="3" t="s">
        <v>18</v>
      </c>
      <c r="D750" s="3">
        <v>42</v>
      </c>
      <c r="E750" s="3" t="s">
        <v>186</v>
      </c>
      <c r="F750" s="3" t="s">
        <v>187</v>
      </c>
      <c r="G750" s="3" t="s">
        <v>125</v>
      </c>
      <c r="H750" s="3">
        <v>5</v>
      </c>
      <c r="I750" s="4">
        <v>30</v>
      </c>
      <c r="J750" s="3">
        <v>4.9000000000000004</v>
      </c>
      <c r="K750" s="3">
        <v>1</v>
      </c>
      <c r="L750" s="3">
        <v>87</v>
      </c>
      <c r="M750" s="3" t="s">
        <v>79</v>
      </c>
      <c r="N750" s="3" t="s">
        <v>23</v>
      </c>
      <c r="O750" s="3">
        <v>1</v>
      </c>
      <c r="P750" s="3">
        <v>1</v>
      </c>
      <c r="Q750" s="3" t="str">
        <f t="shared" si="11"/>
        <v>GOOD</v>
      </c>
    </row>
    <row r="751" spans="1:17" customFormat="1" hidden="1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s="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  <c r="Q751" t="str">
        <f t="shared" si="11"/>
        <v>GOOD</v>
      </c>
    </row>
    <row r="752" spans="1:17" customFormat="1" hidden="1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s="1" t="s">
        <v>30</v>
      </c>
      <c r="J752">
        <v>2.2000000000000002</v>
      </c>
      <c r="K752">
        <v>1</v>
      </c>
      <c r="L752">
        <v>0.83</v>
      </c>
      <c r="M752" t="s">
        <v>53</v>
      </c>
      <c r="N752" t="s">
        <v>31</v>
      </c>
      <c r="O752">
        <v>17</v>
      </c>
      <c r="P752">
        <v>6</v>
      </c>
      <c r="Q752" t="str">
        <f t="shared" si="11"/>
        <v>Average</v>
      </c>
    </row>
    <row r="753" spans="1:17" x14ac:dyDescent="0.25">
      <c r="A753" s="3" t="s">
        <v>1592</v>
      </c>
      <c r="B753" s="3" t="s">
        <v>1593</v>
      </c>
      <c r="C753" s="3" t="s">
        <v>46</v>
      </c>
      <c r="E753" s="3" t="s">
        <v>82</v>
      </c>
      <c r="F753" s="3" t="s">
        <v>83</v>
      </c>
      <c r="G753" s="3" t="s">
        <v>42</v>
      </c>
      <c r="H753" s="3">
        <v>0</v>
      </c>
      <c r="I753" s="4">
        <v>40</v>
      </c>
      <c r="K753" s="3" t="s">
        <v>85</v>
      </c>
      <c r="L753" s="3">
        <v>0.74</v>
      </c>
      <c r="M753" s="3" t="s">
        <v>53</v>
      </c>
      <c r="N753" s="3" t="s">
        <v>67</v>
      </c>
      <c r="O753" s="3">
        <v>1</v>
      </c>
      <c r="P753" s="3">
        <v>2</v>
      </c>
      <c r="Q753" s="3" t="str">
        <f t="shared" si="11"/>
        <v>Average</v>
      </c>
    </row>
    <row r="754" spans="1:17" x14ac:dyDescent="0.25">
      <c r="A754" s="3" t="s">
        <v>1594</v>
      </c>
      <c r="B754" s="3" t="s">
        <v>1595</v>
      </c>
      <c r="C754" s="3" t="s">
        <v>26</v>
      </c>
      <c r="D754" s="3">
        <v>23</v>
      </c>
      <c r="E754" s="3" t="s">
        <v>139</v>
      </c>
      <c r="F754" s="3" t="s">
        <v>28</v>
      </c>
      <c r="G754" s="3" t="s">
        <v>21</v>
      </c>
      <c r="H754" s="3">
        <v>0</v>
      </c>
      <c r="I754" s="4">
        <v>30</v>
      </c>
      <c r="J754" s="3">
        <v>1.1000000000000001</v>
      </c>
      <c r="K754" s="3" t="s">
        <v>78</v>
      </c>
      <c r="L754" s="3">
        <v>0.86</v>
      </c>
      <c r="M754" s="3" t="s">
        <v>53</v>
      </c>
      <c r="N754" s="3" t="s">
        <v>67</v>
      </c>
      <c r="O754" s="3">
        <v>4</v>
      </c>
      <c r="P754" s="3">
        <v>2</v>
      </c>
      <c r="Q754" s="3" t="str">
        <f t="shared" si="11"/>
        <v>Average</v>
      </c>
    </row>
    <row r="755" spans="1:17" x14ac:dyDescent="0.25">
      <c r="A755" s="3" t="s">
        <v>1596</v>
      </c>
      <c r="B755" s="3" t="s">
        <v>1597</v>
      </c>
      <c r="C755" s="3" t="s">
        <v>103</v>
      </c>
      <c r="D755" s="3">
        <v>51</v>
      </c>
      <c r="E755" s="3" t="s">
        <v>186</v>
      </c>
      <c r="F755" s="3" t="s">
        <v>187</v>
      </c>
      <c r="G755" s="3" t="s">
        <v>21</v>
      </c>
      <c r="H755" s="3">
        <v>17</v>
      </c>
      <c r="I755" s="4">
        <v>40</v>
      </c>
      <c r="J755" s="3">
        <v>4.5</v>
      </c>
      <c r="K755" s="3">
        <v>1</v>
      </c>
      <c r="L755" s="3">
        <v>0.72</v>
      </c>
      <c r="M755" s="3" t="s">
        <v>22</v>
      </c>
      <c r="N755" s="3" t="s">
        <v>67</v>
      </c>
      <c r="O755" s="3">
        <v>11</v>
      </c>
      <c r="P755" s="3">
        <v>2</v>
      </c>
      <c r="Q755" s="3" t="str">
        <f t="shared" si="11"/>
        <v>GOOD</v>
      </c>
    </row>
    <row r="756" spans="1:17" customFormat="1" hidden="1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I756" s="1"/>
      <c r="J756">
        <v>2.5</v>
      </c>
      <c r="K756" t="b">
        <v>1</v>
      </c>
      <c r="L756">
        <v>0.73</v>
      </c>
      <c r="M756" t="s">
        <v>74</v>
      </c>
      <c r="N756" t="s">
        <v>67</v>
      </c>
      <c r="O756">
        <v>10</v>
      </c>
      <c r="P756">
        <v>7</v>
      </c>
      <c r="Q756" t="str">
        <f t="shared" si="11"/>
        <v>Average</v>
      </c>
    </row>
    <row r="757" spans="1:17" customFormat="1" hidden="1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s="1" t="s">
        <v>60</v>
      </c>
      <c r="J757">
        <v>2.9</v>
      </c>
      <c r="K757">
        <v>0</v>
      </c>
      <c r="L757">
        <v>0.78</v>
      </c>
      <c r="M757" t="s">
        <v>79</v>
      </c>
      <c r="N757" t="s">
        <v>23</v>
      </c>
      <c r="O757">
        <v>15</v>
      </c>
      <c r="P757">
        <v>1</v>
      </c>
      <c r="Q757" t="str">
        <f t="shared" si="11"/>
        <v>Average</v>
      </c>
    </row>
    <row r="758" spans="1:17" x14ac:dyDescent="0.25">
      <c r="A758" s="3" t="s">
        <v>1602</v>
      </c>
      <c r="B758" s="3" t="s">
        <v>1603</v>
      </c>
      <c r="C758" s="3" t="s">
        <v>18</v>
      </c>
      <c r="D758" s="3">
        <v>49</v>
      </c>
      <c r="E758" s="3" t="s">
        <v>57</v>
      </c>
      <c r="F758" s="3" t="s">
        <v>58</v>
      </c>
      <c r="G758" s="3" t="s">
        <v>51</v>
      </c>
      <c r="H758" s="3">
        <v>22</v>
      </c>
      <c r="I758" s="4">
        <v>75</v>
      </c>
      <c r="J758" s="3">
        <v>0</v>
      </c>
      <c r="K758" s="3" t="b">
        <v>1</v>
      </c>
      <c r="M758" s="3" t="s">
        <v>22</v>
      </c>
      <c r="N758" s="3" t="s">
        <v>31</v>
      </c>
      <c r="O758" s="3">
        <v>16</v>
      </c>
      <c r="P758" s="3">
        <v>18</v>
      </c>
      <c r="Q758" s="3" t="str">
        <f t="shared" si="11"/>
        <v>Average</v>
      </c>
    </row>
    <row r="759" spans="1:17" customFormat="1" hidden="1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s="1" t="s">
        <v>60</v>
      </c>
      <c r="J759">
        <v>3.5</v>
      </c>
      <c r="K759" t="s">
        <v>37</v>
      </c>
      <c r="L759">
        <v>0.75</v>
      </c>
      <c r="M759" t="s">
        <v>22</v>
      </c>
      <c r="N759" t="s">
        <v>23</v>
      </c>
      <c r="O759">
        <v>2</v>
      </c>
      <c r="P759">
        <v>2</v>
      </c>
      <c r="Q759" t="str">
        <f t="shared" si="11"/>
        <v>GOOD</v>
      </c>
    </row>
    <row r="760" spans="1:17" x14ac:dyDescent="0.25">
      <c r="A760" s="3" t="s">
        <v>1606</v>
      </c>
      <c r="B760" s="3" t="s">
        <v>1607</v>
      </c>
      <c r="C760" s="3" t="s">
        <v>103</v>
      </c>
      <c r="D760" s="3">
        <v>31</v>
      </c>
      <c r="E760" s="3" t="s">
        <v>27</v>
      </c>
      <c r="F760" s="3" t="s">
        <v>28</v>
      </c>
      <c r="G760" s="3" t="s">
        <v>51</v>
      </c>
      <c r="H760" s="3">
        <v>1</v>
      </c>
      <c r="I760" s="4">
        <v>40</v>
      </c>
      <c r="J760" s="3">
        <v>4.5</v>
      </c>
      <c r="K760" s="3">
        <v>0</v>
      </c>
      <c r="L760" s="3">
        <v>0.96</v>
      </c>
      <c r="M760" s="3" t="s">
        <v>22</v>
      </c>
      <c r="N760" s="3" t="s">
        <v>31</v>
      </c>
      <c r="O760" s="3">
        <v>1</v>
      </c>
      <c r="P760" s="3">
        <v>3</v>
      </c>
      <c r="Q760" s="3" t="str">
        <f t="shared" si="11"/>
        <v>GOOD</v>
      </c>
    </row>
    <row r="761" spans="1:17" customFormat="1" hidden="1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s="1" t="s">
        <v>63</v>
      </c>
      <c r="J761">
        <v>1.7</v>
      </c>
      <c r="K761" t="s">
        <v>78</v>
      </c>
      <c r="L761">
        <v>0.61</v>
      </c>
      <c r="M761" t="s">
        <v>53</v>
      </c>
      <c r="N761" t="s">
        <v>67</v>
      </c>
      <c r="O761">
        <v>3</v>
      </c>
      <c r="P761">
        <v>3</v>
      </c>
      <c r="Q761" t="str">
        <f t="shared" si="11"/>
        <v>Average</v>
      </c>
    </row>
    <row r="762" spans="1:17" x14ac:dyDescent="0.25">
      <c r="A762" s="3" t="s">
        <v>1610</v>
      </c>
      <c r="B762" s="3" t="s">
        <v>1611</v>
      </c>
      <c r="C762" s="3" t="s">
        <v>56</v>
      </c>
      <c r="D762" s="3">
        <v>60</v>
      </c>
      <c r="E762" s="3" t="s">
        <v>186</v>
      </c>
      <c r="F762" s="3" t="s">
        <v>187</v>
      </c>
      <c r="G762" s="3" t="s">
        <v>100</v>
      </c>
      <c r="H762" s="3">
        <v>40</v>
      </c>
      <c r="I762" s="4">
        <v>50</v>
      </c>
      <c r="J762" s="3">
        <v>4.5999999999999996</v>
      </c>
      <c r="K762" s="3" t="b">
        <v>1</v>
      </c>
      <c r="L762" s="3">
        <v>1</v>
      </c>
      <c r="M762" s="3" t="s">
        <v>74</v>
      </c>
      <c r="N762" s="3" t="s">
        <v>38</v>
      </c>
      <c r="O762" s="3">
        <v>13</v>
      </c>
      <c r="P762" s="3">
        <v>2</v>
      </c>
      <c r="Q762" s="3" t="str">
        <f t="shared" si="11"/>
        <v>GOOD</v>
      </c>
    </row>
    <row r="763" spans="1:17" x14ac:dyDescent="0.25">
      <c r="A763" s="3" t="s">
        <v>1612</v>
      </c>
      <c r="B763" s="3" t="s">
        <v>1613</v>
      </c>
      <c r="C763" s="3" t="s">
        <v>103</v>
      </c>
      <c r="D763" s="3">
        <v>51</v>
      </c>
      <c r="E763" s="3" t="s">
        <v>139</v>
      </c>
      <c r="F763" s="3" t="s">
        <v>28</v>
      </c>
      <c r="G763" s="3" t="s">
        <v>21</v>
      </c>
      <c r="H763" s="3">
        <v>19</v>
      </c>
      <c r="I763" s="4">
        <v>50</v>
      </c>
      <c r="K763" s="3" t="s">
        <v>85</v>
      </c>
      <c r="L763" s="3">
        <v>0.82</v>
      </c>
      <c r="M763" s="3" t="s">
        <v>22</v>
      </c>
      <c r="N763" s="3" t="s">
        <v>23</v>
      </c>
      <c r="O763" s="3">
        <v>17</v>
      </c>
      <c r="P763" s="3">
        <v>4</v>
      </c>
      <c r="Q763" s="3" t="str">
        <f t="shared" si="11"/>
        <v>Average</v>
      </c>
    </row>
    <row r="764" spans="1:17" customFormat="1" hidden="1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I764" s="1"/>
      <c r="J764">
        <v>4.9000000000000004</v>
      </c>
      <c r="K764">
        <v>1</v>
      </c>
      <c r="L764">
        <v>0.8</v>
      </c>
      <c r="M764" t="s">
        <v>79</v>
      </c>
      <c r="N764" t="s">
        <v>38</v>
      </c>
      <c r="O764">
        <v>7</v>
      </c>
      <c r="P764">
        <v>6</v>
      </c>
      <c r="Q764" t="str">
        <f t="shared" si="11"/>
        <v>GOOD</v>
      </c>
    </row>
    <row r="765" spans="1:17" x14ac:dyDescent="0.25">
      <c r="A765" s="3" t="s">
        <v>1616</v>
      </c>
      <c r="B765" s="3" t="s">
        <v>1617</v>
      </c>
      <c r="C765" s="3" t="s">
        <v>34</v>
      </c>
      <c r="D765" s="3">
        <v>52</v>
      </c>
      <c r="E765" s="3" t="s">
        <v>104</v>
      </c>
      <c r="F765" s="3" t="s">
        <v>105</v>
      </c>
      <c r="G765" s="3" t="s">
        <v>21</v>
      </c>
      <c r="H765" s="3">
        <v>7</v>
      </c>
      <c r="I765" s="4">
        <v>40</v>
      </c>
      <c r="J765" s="3">
        <v>2.2000000000000002</v>
      </c>
      <c r="L765" s="3">
        <v>0.96</v>
      </c>
      <c r="M765" s="3" t="s">
        <v>74</v>
      </c>
      <c r="N765" s="3" t="s">
        <v>23</v>
      </c>
      <c r="O765" s="3">
        <v>8</v>
      </c>
      <c r="P765" s="3">
        <v>8</v>
      </c>
      <c r="Q765" s="3" t="str">
        <f t="shared" si="11"/>
        <v>Average</v>
      </c>
    </row>
    <row r="766" spans="1:17" x14ac:dyDescent="0.25">
      <c r="A766" s="3" t="s">
        <v>1618</v>
      </c>
      <c r="B766" s="3" t="s">
        <v>1619</v>
      </c>
      <c r="C766" s="3" t="s">
        <v>56</v>
      </c>
      <c r="D766" s="3">
        <v>27</v>
      </c>
      <c r="E766" s="3" t="s">
        <v>57</v>
      </c>
      <c r="F766" s="3" t="s">
        <v>58</v>
      </c>
      <c r="G766" s="3" t="s">
        <v>21</v>
      </c>
      <c r="H766" s="3">
        <v>4</v>
      </c>
      <c r="I766" s="4">
        <v>20</v>
      </c>
      <c r="K766" s="3">
        <v>0</v>
      </c>
      <c r="L766" s="3">
        <v>0.63</v>
      </c>
      <c r="M766" s="3" t="s">
        <v>79</v>
      </c>
      <c r="N766" s="3" t="s">
        <v>67</v>
      </c>
      <c r="O766" s="3">
        <v>3</v>
      </c>
      <c r="P766" s="3">
        <v>3</v>
      </c>
      <c r="Q766" s="3" t="str">
        <f t="shared" si="11"/>
        <v>Average</v>
      </c>
    </row>
    <row r="767" spans="1:17" customFormat="1" hidden="1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1" t="s">
        <v>43</v>
      </c>
      <c r="J767">
        <v>2.2000000000000002</v>
      </c>
      <c r="K767">
        <v>0</v>
      </c>
      <c r="L767">
        <v>0.67</v>
      </c>
      <c r="M767" t="s">
        <v>74</v>
      </c>
      <c r="N767" t="s">
        <v>23</v>
      </c>
      <c r="O767">
        <v>12</v>
      </c>
      <c r="P767">
        <v>13</v>
      </c>
      <c r="Q767" t="str">
        <f t="shared" si="11"/>
        <v>Average</v>
      </c>
    </row>
    <row r="768" spans="1:17" customFormat="1" hidden="1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s="1" t="s">
        <v>120</v>
      </c>
      <c r="J768">
        <v>3.3</v>
      </c>
      <c r="K768">
        <v>1</v>
      </c>
      <c r="L768">
        <v>0.61</v>
      </c>
      <c r="M768" t="s">
        <v>79</v>
      </c>
      <c r="N768" t="s">
        <v>67</v>
      </c>
      <c r="O768">
        <v>3</v>
      </c>
      <c r="P768">
        <v>5</v>
      </c>
      <c r="Q768" t="str">
        <f t="shared" si="11"/>
        <v>Average</v>
      </c>
    </row>
    <row r="769" spans="1:17" customFormat="1" hidden="1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s="1" t="s">
        <v>120</v>
      </c>
      <c r="J769">
        <v>4.9000000000000004</v>
      </c>
      <c r="K769">
        <v>0</v>
      </c>
      <c r="L769">
        <v>0.77</v>
      </c>
      <c r="M769" t="s">
        <v>53</v>
      </c>
      <c r="N769" t="s">
        <v>23</v>
      </c>
      <c r="O769">
        <v>19</v>
      </c>
      <c r="P769">
        <v>8</v>
      </c>
      <c r="Q769" t="str">
        <f t="shared" si="11"/>
        <v>GOOD</v>
      </c>
    </row>
    <row r="770" spans="1:17" x14ac:dyDescent="0.25">
      <c r="A770" s="3" t="s">
        <v>1626</v>
      </c>
      <c r="B770" s="3" t="s">
        <v>1627</v>
      </c>
      <c r="C770" s="3" t="s">
        <v>41</v>
      </c>
      <c r="D770" s="3">
        <v>54</v>
      </c>
      <c r="E770" s="3" t="s">
        <v>66</v>
      </c>
      <c r="F770" s="3" t="s">
        <v>28</v>
      </c>
      <c r="G770" s="3" t="s">
        <v>29</v>
      </c>
      <c r="H770" s="3">
        <v>19</v>
      </c>
      <c r="I770" s="4">
        <v>75</v>
      </c>
      <c r="J770" s="3">
        <v>0</v>
      </c>
      <c r="M770" s="3" t="s">
        <v>22</v>
      </c>
      <c r="N770" s="3" t="s">
        <v>67</v>
      </c>
      <c r="O770" s="3">
        <v>14</v>
      </c>
      <c r="P770" s="3">
        <v>9</v>
      </c>
      <c r="Q770" s="3" t="str">
        <f t="shared" ref="Q770:Q833" si="12">IF(J770&lt;3.5,"Average","GOOD")</f>
        <v>Average</v>
      </c>
    </row>
    <row r="771" spans="1:17" x14ac:dyDescent="0.25">
      <c r="A771" s="3" t="s">
        <v>1628</v>
      </c>
      <c r="B771" s="3" t="s">
        <v>1629</v>
      </c>
      <c r="C771" s="3" t="s">
        <v>88</v>
      </c>
      <c r="D771" s="3">
        <v>52</v>
      </c>
      <c r="E771" s="3" t="s">
        <v>123</v>
      </c>
      <c r="F771" s="3" t="s">
        <v>124</v>
      </c>
      <c r="G771" s="3" t="s">
        <v>59</v>
      </c>
      <c r="H771" s="3">
        <v>4</v>
      </c>
      <c r="I771" s="4">
        <v>50</v>
      </c>
      <c r="K771" s="3" t="s">
        <v>37</v>
      </c>
      <c r="L771" s="3">
        <v>0.84</v>
      </c>
      <c r="M771" s="3" t="s">
        <v>79</v>
      </c>
      <c r="N771" s="3" t="s">
        <v>67</v>
      </c>
      <c r="O771" s="3">
        <v>5</v>
      </c>
      <c r="P771" s="3">
        <v>1</v>
      </c>
      <c r="Q771" s="3" t="str">
        <f t="shared" si="12"/>
        <v>Average</v>
      </c>
    </row>
    <row r="772" spans="1:17" customFormat="1" hidden="1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s="1" t="s">
        <v>30</v>
      </c>
      <c r="K772" t="s">
        <v>85</v>
      </c>
      <c r="L772">
        <v>0.89</v>
      </c>
      <c r="M772" t="s">
        <v>74</v>
      </c>
      <c r="N772" t="s">
        <v>31</v>
      </c>
      <c r="O772">
        <v>13</v>
      </c>
      <c r="P772">
        <v>2</v>
      </c>
      <c r="Q772" t="str">
        <f t="shared" si="12"/>
        <v>Average</v>
      </c>
    </row>
    <row r="773" spans="1:17" customFormat="1" hidden="1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s="1" t="s">
        <v>120</v>
      </c>
      <c r="J773">
        <v>4</v>
      </c>
      <c r="L773">
        <v>0.9</v>
      </c>
      <c r="M773" t="s">
        <v>22</v>
      </c>
      <c r="N773" t="s">
        <v>67</v>
      </c>
      <c r="O773">
        <v>14</v>
      </c>
      <c r="P773">
        <v>3</v>
      </c>
      <c r="Q773" t="str">
        <f t="shared" si="12"/>
        <v>GOOD</v>
      </c>
    </row>
    <row r="774" spans="1:17" x14ac:dyDescent="0.25">
      <c r="A774" s="3" t="s">
        <v>1634</v>
      </c>
      <c r="B774" s="3" t="s">
        <v>1635</v>
      </c>
      <c r="C774" s="3" t="s">
        <v>88</v>
      </c>
      <c r="D774" s="3">
        <v>22</v>
      </c>
      <c r="E774" s="3" t="s">
        <v>66</v>
      </c>
      <c r="F774" s="3" t="s">
        <v>28</v>
      </c>
      <c r="G774" s="3" t="s">
        <v>89</v>
      </c>
      <c r="H774" s="3">
        <v>1</v>
      </c>
      <c r="I774" s="4">
        <v>20</v>
      </c>
      <c r="J774" s="3">
        <v>4.8</v>
      </c>
      <c r="K774" s="3" t="b">
        <v>0</v>
      </c>
      <c r="L774" s="3">
        <v>0.87</v>
      </c>
      <c r="M774" s="3" t="s">
        <v>22</v>
      </c>
      <c r="N774" s="3" t="s">
        <v>31</v>
      </c>
      <c r="O774" s="3">
        <v>3</v>
      </c>
      <c r="P774" s="3">
        <v>4</v>
      </c>
      <c r="Q774" s="3" t="str">
        <f t="shared" si="12"/>
        <v>GOOD</v>
      </c>
    </row>
    <row r="775" spans="1:17" x14ac:dyDescent="0.25">
      <c r="A775" s="3" t="s">
        <v>1636</v>
      </c>
      <c r="B775" s="3" t="s">
        <v>1637</v>
      </c>
      <c r="C775" s="3" t="s">
        <v>26</v>
      </c>
      <c r="D775" s="3">
        <v>29</v>
      </c>
      <c r="E775" s="3" t="s">
        <v>164</v>
      </c>
      <c r="F775" s="3" t="s">
        <v>165</v>
      </c>
      <c r="G775" s="3" t="s">
        <v>29</v>
      </c>
      <c r="H775" s="3">
        <v>8</v>
      </c>
      <c r="I775" s="4">
        <v>50</v>
      </c>
      <c r="J775" s="3">
        <v>0</v>
      </c>
      <c r="K775" s="3">
        <v>0</v>
      </c>
      <c r="L775" s="3">
        <v>0.77</v>
      </c>
      <c r="M775" s="3" t="s">
        <v>74</v>
      </c>
      <c r="N775" s="3" t="s">
        <v>67</v>
      </c>
      <c r="O775" s="3">
        <v>11</v>
      </c>
      <c r="P775" s="3">
        <v>3</v>
      </c>
      <c r="Q775" s="3" t="str">
        <f t="shared" si="12"/>
        <v>Average</v>
      </c>
    </row>
    <row r="776" spans="1:17" customFormat="1" hidden="1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s="1" t="s">
        <v>120</v>
      </c>
      <c r="J776">
        <v>1.6</v>
      </c>
      <c r="K776" t="s">
        <v>85</v>
      </c>
      <c r="L776">
        <v>0.72</v>
      </c>
      <c r="M776" t="s">
        <v>79</v>
      </c>
      <c r="N776" t="s">
        <v>38</v>
      </c>
      <c r="O776">
        <v>1</v>
      </c>
      <c r="P776">
        <v>1</v>
      </c>
      <c r="Q776" t="str">
        <f t="shared" si="12"/>
        <v>Average</v>
      </c>
    </row>
    <row r="777" spans="1:17" x14ac:dyDescent="0.25">
      <c r="A777" s="3" t="s">
        <v>1640</v>
      </c>
      <c r="B777" s="3" t="s">
        <v>1641</v>
      </c>
      <c r="C777" s="3" t="s">
        <v>41</v>
      </c>
      <c r="D777" s="3">
        <v>58</v>
      </c>
      <c r="E777" s="3" t="s">
        <v>190</v>
      </c>
      <c r="F777" s="3" t="s">
        <v>83</v>
      </c>
      <c r="G777" s="3" t="s">
        <v>100</v>
      </c>
      <c r="H777" s="3">
        <v>30</v>
      </c>
      <c r="I777" s="4">
        <v>50</v>
      </c>
      <c r="J777" s="3">
        <v>1.3</v>
      </c>
      <c r="K777" s="3" t="s">
        <v>78</v>
      </c>
      <c r="L777" s="3">
        <v>0.87</v>
      </c>
      <c r="M777" s="3" t="s">
        <v>53</v>
      </c>
      <c r="N777" s="3" t="s">
        <v>67</v>
      </c>
      <c r="O777" s="3">
        <v>13</v>
      </c>
      <c r="P777" s="3">
        <v>6</v>
      </c>
      <c r="Q777" s="3" t="str">
        <f t="shared" si="12"/>
        <v>Average</v>
      </c>
    </row>
    <row r="778" spans="1:17" x14ac:dyDescent="0.25">
      <c r="A778" s="3" t="s">
        <v>1642</v>
      </c>
      <c r="B778" s="3" t="s">
        <v>1643</v>
      </c>
      <c r="C778" s="3" t="s">
        <v>18</v>
      </c>
      <c r="D778" s="3">
        <v>56</v>
      </c>
      <c r="E778" s="3" t="s">
        <v>186</v>
      </c>
      <c r="F778" s="3" t="s">
        <v>187</v>
      </c>
      <c r="G778" s="3" t="s">
        <v>21</v>
      </c>
      <c r="H778" s="3">
        <v>3</v>
      </c>
      <c r="I778" s="4">
        <v>40</v>
      </c>
      <c r="J778" s="3">
        <v>4.0999999999999996</v>
      </c>
      <c r="K778" s="3" t="b">
        <v>1</v>
      </c>
      <c r="L778" s="3">
        <v>0.89</v>
      </c>
      <c r="M778" s="3" t="s">
        <v>53</v>
      </c>
      <c r="N778" s="3" t="s">
        <v>38</v>
      </c>
      <c r="O778" s="3">
        <v>5</v>
      </c>
      <c r="P778" s="3">
        <v>1</v>
      </c>
      <c r="Q778" s="3" t="str">
        <f t="shared" si="12"/>
        <v>GOOD</v>
      </c>
    </row>
    <row r="779" spans="1:17" x14ac:dyDescent="0.25">
      <c r="A779" s="3" t="s">
        <v>1644</v>
      </c>
      <c r="B779" s="3" t="s">
        <v>1645</v>
      </c>
      <c r="C779" s="3" t="s">
        <v>103</v>
      </c>
      <c r="D779" s="3">
        <v>48</v>
      </c>
      <c r="E779" s="3" t="s">
        <v>71</v>
      </c>
      <c r="F779" s="3" t="s">
        <v>72</v>
      </c>
      <c r="G779" s="3" t="s">
        <v>42</v>
      </c>
      <c r="H779" s="3">
        <v>19</v>
      </c>
      <c r="I779" s="4">
        <v>40</v>
      </c>
      <c r="J779" s="3">
        <v>1.5</v>
      </c>
      <c r="K779" s="3">
        <v>0</v>
      </c>
      <c r="L779" s="3">
        <v>0.87</v>
      </c>
      <c r="M779" s="3" t="s">
        <v>79</v>
      </c>
      <c r="N779" s="3" t="s">
        <v>38</v>
      </c>
      <c r="O779" s="3">
        <v>14</v>
      </c>
      <c r="P779" s="3">
        <v>11</v>
      </c>
      <c r="Q779" s="3" t="str">
        <f t="shared" si="12"/>
        <v>Average</v>
      </c>
    </row>
    <row r="780" spans="1:17" customFormat="1" hidden="1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s="1" t="s">
        <v>63</v>
      </c>
      <c r="J780">
        <v>4.3</v>
      </c>
      <c r="K780" t="s">
        <v>85</v>
      </c>
      <c r="L780">
        <v>0.76</v>
      </c>
      <c r="M780" t="s">
        <v>22</v>
      </c>
      <c r="N780" t="s">
        <v>67</v>
      </c>
      <c r="O780">
        <v>6</v>
      </c>
      <c r="P780">
        <v>3</v>
      </c>
      <c r="Q780" t="str">
        <f t="shared" si="12"/>
        <v>GOOD</v>
      </c>
    </row>
    <row r="781" spans="1:17" x14ac:dyDescent="0.25">
      <c r="A781" s="3" t="s">
        <v>1648</v>
      </c>
      <c r="B781" s="3" t="s">
        <v>1649</v>
      </c>
      <c r="C781" s="3" t="s">
        <v>103</v>
      </c>
      <c r="D781" s="3">
        <v>44</v>
      </c>
      <c r="E781" s="3" t="s">
        <v>27</v>
      </c>
      <c r="F781" s="3" t="s">
        <v>28</v>
      </c>
      <c r="G781" s="3" t="s">
        <v>125</v>
      </c>
      <c r="H781" s="3">
        <v>26</v>
      </c>
      <c r="I781" s="4">
        <v>50</v>
      </c>
      <c r="J781" s="3">
        <v>1.6</v>
      </c>
      <c r="L781" s="3">
        <v>1</v>
      </c>
      <c r="M781" s="3" t="s">
        <v>22</v>
      </c>
      <c r="N781" s="3" t="s">
        <v>38</v>
      </c>
      <c r="O781" s="3">
        <v>20</v>
      </c>
      <c r="P781" s="3">
        <v>8</v>
      </c>
      <c r="Q781" s="3" t="str">
        <f t="shared" si="12"/>
        <v>Average</v>
      </c>
    </row>
    <row r="782" spans="1:17" x14ac:dyDescent="0.25">
      <c r="A782" s="3" t="s">
        <v>1650</v>
      </c>
      <c r="B782" s="3" t="s">
        <v>1651</v>
      </c>
      <c r="C782" s="3" t="s">
        <v>41</v>
      </c>
      <c r="D782" s="3">
        <v>42</v>
      </c>
      <c r="E782" s="3" t="s">
        <v>150</v>
      </c>
      <c r="F782" s="3" t="s">
        <v>151</v>
      </c>
      <c r="G782" s="3" t="s">
        <v>29</v>
      </c>
      <c r="H782" s="3">
        <v>10</v>
      </c>
      <c r="I782" s="4">
        <v>100</v>
      </c>
      <c r="J782" s="3">
        <v>3.7</v>
      </c>
      <c r="K782" s="3" t="s">
        <v>85</v>
      </c>
      <c r="L782" s="3">
        <v>0.94</v>
      </c>
      <c r="M782" s="3" t="s">
        <v>22</v>
      </c>
      <c r="N782" s="3" t="s">
        <v>31</v>
      </c>
      <c r="O782" s="3">
        <v>8</v>
      </c>
      <c r="P782" s="3">
        <v>2</v>
      </c>
      <c r="Q782" s="3" t="str">
        <f t="shared" si="12"/>
        <v>GOOD</v>
      </c>
    </row>
    <row r="783" spans="1:17" x14ac:dyDescent="0.25">
      <c r="A783" s="3" t="s">
        <v>1652</v>
      </c>
      <c r="B783" s="3" t="s">
        <v>1653</v>
      </c>
      <c r="C783" s="3" t="s">
        <v>108</v>
      </c>
      <c r="D783" s="3">
        <v>59</v>
      </c>
      <c r="E783" s="3" t="s">
        <v>66</v>
      </c>
      <c r="F783" s="3" t="s">
        <v>28</v>
      </c>
      <c r="G783" s="3" t="s">
        <v>89</v>
      </c>
      <c r="H783" s="3">
        <v>17</v>
      </c>
      <c r="I783" s="4">
        <v>50</v>
      </c>
      <c r="J783" s="3">
        <v>1.4</v>
      </c>
      <c r="K783" s="3" t="s">
        <v>78</v>
      </c>
      <c r="M783" s="3" t="s">
        <v>22</v>
      </c>
      <c r="N783" s="3" t="s">
        <v>23</v>
      </c>
      <c r="O783" s="3">
        <v>20</v>
      </c>
      <c r="P783" s="3">
        <v>12</v>
      </c>
      <c r="Q783" s="3" t="str">
        <f t="shared" si="12"/>
        <v>Average</v>
      </c>
    </row>
    <row r="784" spans="1:17" customFormat="1" hidden="1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s="1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  <c r="Q784" t="str">
        <f t="shared" si="12"/>
        <v>GOOD</v>
      </c>
    </row>
    <row r="785" spans="1:17" customFormat="1" hidden="1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s="1" t="s">
        <v>63</v>
      </c>
      <c r="J785">
        <v>3.7</v>
      </c>
      <c r="K785">
        <v>0</v>
      </c>
      <c r="L785">
        <v>0.74</v>
      </c>
      <c r="M785" t="s">
        <v>22</v>
      </c>
      <c r="N785" t="s">
        <v>38</v>
      </c>
      <c r="O785">
        <v>1</v>
      </c>
      <c r="P785">
        <v>1</v>
      </c>
      <c r="Q785" t="str">
        <f t="shared" si="12"/>
        <v>GOOD</v>
      </c>
    </row>
    <row r="786" spans="1:17" x14ac:dyDescent="0.25">
      <c r="A786" s="3" t="s">
        <v>1658</v>
      </c>
      <c r="B786" s="3" t="s">
        <v>1659</v>
      </c>
      <c r="C786" s="3" t="s">
        <v>108</v>
      </c>
      <c r="D786" s="3">
        <v>53</v>
      </c>
      <c r="E786" s="3" t="s">
        <v>77</v>
      </c>
      <c r="F786" s="3" t="s">
        <v>28</v>
      </c>
      <c r="G786" s="3" t="s">
        <v>100</v>
      </c>
      <c r="H786" s="3">
        <v>5</v>
      </c>
      <c r="I786" s="4">
        <v>75</v>
      </c>
      <c r="J786" s="3">
        <v>1.1000000000000001</v>
      </c>
      <c r="K786" s="3">
        <v>0</v>
      </c>
      <c r="L786" s="3">
        <v>92</v>
      </c>
      <c r="M786" s="3" t="s">
        <v>74</v>
      </c>
      <c r="N786" s="3" t="s">
        <v>67</v>
      </c>
      <c r="O786" s="3">
        <v>1</v>
      </c>
      <c r="P786" s="3">
        <v>1</v>
      </c>
      <c r="Q786" s="3" t="str">
        <f t="shared" si="12"/>
        <v>Average</v>
      </c>
    </row>
    <row r="787" spans="1:17" customFormat="1" hidden="1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I787" s="1"/>
      <c r="J787">
        <v>3.7</v>
      </c>
      <c r="K787" t="b">
        <v>0</v>
      </c>
      <c r="L787">
        <v>0.66</v>
      </c>
      <c r="M787" t="s">
        <v>22</v>
      </c>
      <c r="N787" t="s">
        <v>31</v>
      </c>
      <c r="O787">
        <v>8</v>
      </c>
      <c r="P787">
        <v>7</v>
      </c>
      <c r="Q787" t="str">
        <f t="shared" si="12"/>
        <v>GOOD</v>
      </c>
    </row>
    <row r="788" spans="1:17" customFormat="1" hidden="1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s="1" t="s">
        <v>73</v>
      </c>
      <c r="J788">
        <v>3.2</v>
      </c>
      <c r="K788" t="b">
        <v>1</v>
      </c>
      <c r="L788">
        <v>0.74</v>
      </c>
      <c r="M788" t="s">
        <v>53</v>
      </c>
      <c r="N788" t="s">
        <v>67</v>
      </c>
      <c r="O788">
        <v>2</v>
      </c>
      <c r="P788">
        <v>2</v>
      </c>
      <c r="Q788" t="str">
        <f t="shared" si="12"/>
        <v>Average</v>
      </c>
    </row>
    <row r="789" spans="1:17" x14ac:dyDescent="0.25">
      <c r="A789" s="3" t="s">
        <v>1664</v>
      </c>
      <c r="B789" s="3" t="s">
        <v>1665</v>
      </c>
      <c r="C789" s="3" t="s">
        <v>46</v>
      </c>
      <c r="D789" s="3">
        <v>23</v>
      </c>
      <c r="E789" s="3" t="s">
        <v>19</v>
      </c>
      <c r="F789" s="3" t="s">
        <v>20</v>
      </c>
      <c r="G789" s="3" t="s">
        <v>84</v>
      </c>
      <c r="H789" s="3">
        <v>1</v>
      </c>
      <c r="I789" s="4">
        <v>30</v>
      </c>
      <c r="J789" s="3">
        <v>5</v>
      </c>
      <c r="K789" s="3" t="s">
        <v>37</v>
      </c>
      <c r="L789" s="3">
        <v>0.97</v>
      </c>
      <c r="M789" s="3" t="s">
        <v>22</v>
      </c>
      <c r="N789" s="3" t="s">
        <v>67</v>
      </c>
      <c r="O789" s="3">
        <v>2</v>
      </c>
      <c r="P789" s="3">
        <v>1</v>
      </c>
      <c r="Q789" s="3" t="str">
        <f t="shared" si="12"/>
        <v>GOOD</v>
      </c>
    </row>
    <row r="790" spans="1:17" x14ac:dyDescent="0.25">
      <c r="A790" s="3" t="s">
        <v>1666</v>
      </c>
      <c r="B790" s="3" t="s">
        <v>1667</v>
      </c>
      <c r="C790" s="3" t="s">
        <v>41</v>
      </c>
      <c r="D790" s="3">
        <v>56</v>
      </c>
      <c r="E790" s="3" t="s">
        <v>150</v>
      </c>
      <c r="F790" s="3" t="s">
        <v>151</v>
      </c>
      <c r="G790" s="3" t="s">
        <v>36</v>
      </c>
      <c r="H790" s="3">
        <v>13</v>
      </c>
      <c r="I790" s="4">
        <v>30</v>
      </c>
      <c r="J790" s="3">
        <v>0</v>
      </c>
      <c r="L790" s="3">
        <v>77</v>
      </c>
      <c r="M790" s="3" t="s">
        <v>79</v>
      </c>
      <c r="N790" s="3" t="s">
        <v>38</v>
      </c>
      <c r="O790" s="3">
        <v>6</v>
      </c>
      <c r="P790" s="3">
        <v>7</v>
      </c>
      <c r="Q790" s="3" t="str">
        <f t="shared" si="12"/>
        <v>Average</v>
      </c>
    </row>
    <row r="791" spans="1:17" customFormat="1" hidden="1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I791" s="1"/>
      <c r="J791">
        <v>3.5</v>
      </c>
      <c r="K791" t="s">
        <v>170</v>
      </c>
      <c r="L791">
        <v>0.86</v>
      </c>
      <c r="M791" t="s">
        <v>53</v>
      </c>
      <c r="N791" t="s">
        <v>31</v>
      </c>
      <c r="O791">
        <v>12</v>
      </c>
      <c r="P791">
        <v>2</v>
      </c>
      <c r="Q791" t="str">
        <f t="shared" si="12"/>
        <v>GOOD</v>
      </c>
    </row>
    <row r="792" spans="1:17" x14ac:dyDescent="0.25">
      <c r="A792" s="3" t="s">
        <v>1670</v>
      </c>
      <c r="B792" s="3" t="s">
        <v>1671</v>
      </c>
      <c r="C792" s="3" t="s">
        <v>103</v>
      </c>
      <c r="D792" s="3">
        <v>24</v>
      </c>
      <c r="E792" s="3" t="s">
        <v>66</v>
      </c>
      <c r="F792" s="3" t="s">
        <v>28</v>
      </c>
      <c r="G792" s="3" t="s">
        <v>89</v>
      </c>
      <c r="H792" s="3">
        <v>4</v>
      </c>
      <c r="I792" s="4">
        <v>50</v>
      </c>
      <c r="J792" s="3">
        <v>3.1</v>
      </c>
      <c r="K792" s="3" t="b">
        <v>0</v>
      </c>
      <c r="L792" s="3">
        <v>0.95</v>
      </c>
      <c r="M792" s="3" t="s">
        <v>79</v>
      </c>
      <c r="N792" s="3" t="s">
        <v>23</v>
      </c>
      <c r="O792" s="3">
        <v>5</v>
      </c>
      <c r="P792" s="3">
        <v>2</v>
      </c>
      <c r="Q792" s="3" t="str">
        <f t="shared" si="12"/>
        <v>Average</v>
      </c>
    </row>
    <row r="793" spans="1:17" customFormat="1" hidden="1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I793" s="1"/>
      <c r="J793">
        <v>3.9</v>
      </c>
      <c r="K793">
        <v>0</v>
      </c>
      <c r="L793">
        <v>0.72</v>
      </c>
      <c r="M793" t="s">
        <v>79</v>
      </c>
      <c r="N793" t="s">
        <v>23</v>
      </c>
      <c r="O793">
        <v>6</v>
      </c>
      <c r="P793">
        <v>9</v>
      </c>
      <c r="Q793" t="str">
        <f t="shared" si="12"/>
        <v>GOOD</v>
      </c>
    </row>
    <row r="794" spans="1:17" customFormat="1" hidden="1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I794" s="1"/>
      <c r="J794">
        <v>3.5</v>
      </c>
      <c r="K794">
        <v>0</v>
      </c>
      <c r="L794">
        <v>0.71</v>
      </c>
      <c r="M794" t="s">
        <v>53</v>
      </c>
      <c r="N794" t="s">
        <v>38</v>
      </c>
      <c r="O794">
        <v>3</v>
      </c>
      <c r="P794">
        <v>1</v>
      </c>
      <c r="Q794" t="str">
        <f t="shared" si="12"/>
        <v>GOOD</v>
      </c>
    </row>
    <row r="795" spans="1:17" customFormat="1" hidden="1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s="1" t="s">
        <v>240</v>
      </c>
      <c r="J795">
        <v>2.5</v>
      </c>
      <c r="K795" t="b">
        <v>1</v>
      </c>
      <c r="L795">
        <v>0.93</v>
      </c>
      <c r="M795" t="s">
        <v>79</v>
      </c>
      <c r="N795" t="s">
        <v>67</v>
      </c>
      <c r="O795">
        <v>1</v>
      </c>
      <c r="P795">
        <v>1</v>
      </c>
      <c r="Q795" t="str">
        <f t="shared" si="12"/>
        <v>Average</v>
      </c>
    </row>
    <row r="796" spans="1:17" customFormat="1" hidden="1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s="1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  <c r="Q796" t="str">
        <f t="shared" si="12"/>
        <v>Average</v>
      </c>
    </row>
    <row r="797" spans="1:17" x14ac:dyDescent="0.25">
      <c r="A797" s="3" t="s">
        <v>1680</v>
      </c>
      <c r="B797" s="3" t="s">
        <v>1681</v>
      </c>
      <c r="C797" s="3" t="s">
        <v>56</v>
      </c>
      <c r="D797" s="3">
        <v>53</v>
      </c>
      <c r="E797" s="3" t="s">
        <v>135</v>
      </c>
      <c r="F797" s="3" t="s">
        <v>136</v>
      </c>
      <c r="G797" s="3" t="s">
        <v>89</v>
      </c>
      <c r="H797" s="3">
        <v>12</v>
      </c>
      <c r="I797" s="4">
        <v>100</v>
      </c>
      <c r="J797" s="3">
        <v>4.7</v>
      </c>
      <c r="K797" s="3">
        <v>1</v>
      </c>
      <c r="L797" s="3">
        <v>0.87</v>
      </c>
      <c r="M797" s="3" t="s">
        <v>22</v>
      </c>
      <c r="N797" s="3" t="s">
        <v>38</v>
      </c>
      <c r="O797" s="3">
        <v>10</v>
      </c>
      <c r="P797" s="3">
        <v>11</v>
      </c>
      <c r="Q797" s="3" t="str">
        <f t="shared" si="12"/>
        <v>GOOD</v>
      </c>
    </row>
    <row r="798" spans="1:17" customFormat="1" hidden="1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I798" s="1"/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  <c r="Q798" t="str">
        <f t="shared" si="12"/>
        <v>Average</v>
      </c>
    </row>
    <row r="799" spans="1:17" customFormat="1" hidden="1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I799" s="1"/>
      <c r="J799">
        <v>1.6</v>
      </c>
      <c r="K799">
        <v>1</v>
      </c>
      <c r="L799">
        <v>0.74</v>
      </c>
      <c r="M799" t="s">
        <v>79</v>
      </c>
      <c r="N799" t="s">
        <v>67</v>
      </c>
      <c r="O799">
        <v>6</v>
      </c>
      <c r="P799">
        <v>2</v>
      </c>
      <c r="Q799" t="str">
        <f t="shared" si="12"/>
        <v>Average</v>
      </c>
    </row>
    <row r="800" spans="1:17" x14ac:dyDescent="0.25">
      <c r="A800" s="3" t="s">
        <v>1686</v>
      </c>
      <c r="B800" s="3" t="s">
        <v>1687</v>
      </c>
      <c r="C800" s="3" t="s">
        <v>103</v>
      </c>
      <c r="D800" s="3">
        <v>37</v>
      </c>
      <c r="E800" s="3" t="s">
        <v>139</v>
      </c>
      <c r="F800" s="3" t="s">
        <v>28</v>
      </c>
      <c r="G800" s="3" t="s">
        <v>100</v>
      </c>
      <c r="H800" s="3">
        <v>3</v>
      </c>
      <c r="I800" s="4">
        <v>20</v>
      </c>
      <c r="J800" s="3">
        <v>2.5</v>
      </c>
      <c r="K800" s="3" t="s">
        <v>37</v>
      </c>
      <c r="L800" s="3">
        <v>0.62</v>
      </c>
      <c r="M800" s="3" t="s">
        <v>79</v>
      </c>
      <c r="N800" s="3" t="s">
        <v>31</v>
      </c>
      <c r="O800" s="3">
        <v>3</v>
      </c>
      <c r="P800" s="3">
        <v>1</v>
      </c>
      <c r="Q800" s="3" t="str">
        <f t="shared" si="12"/>
        <v>Average</v>
      </c>
    </row>
    <row r="801" spans="1:17" x14ac:dyDescent="0.25">
      <c r="A801" s="3" t="s">
        <v>1688</v>
      </c>
      <c r="B801" s="3" t="s">
        <v>1689</v>
      </c>
      <c r="C801" s="3" t="s">
        <v>46</v>
      </c>
      <c r="D801" s="3">
        <v>58</v>
      </c>
      <c r="E801" s="3" t="s">
        <v>146</v>
      </c>
      <c r="F801" s="3" t="s">
        <v>147</v>
      </c>
      <c r="G801" s="3" t="s">
        <v>59</v>
      </c>
      <c r="H801" s="3">
        <v>15</v>
      </c>
      <c r="I801" s="4">
        <v>20</v>
      </c>
      <c r="J801" s="3">
        <v>3.5</v>
      </c>
      <c r="L801" s="3">
        <v>0.98</v>
      </c>
      <c r="M801" s="3" t="s">
        <v>79</v>
      </c>
      <c r="N801" s="3" t="s">
        <v>38</v>
      </c>
      <c r="O801" s="3">
        <v>9</v>
      </c>
      <c r="P801" s="3">
        <v>12</v>
      </c>
      <c r="Q801" s="3" t="str">
        <f t="shared" si="12"/>
        <v>GOOD</v>
      </c>
    </row>
    <row r="802" spans="1:17" x14ac:dyDescent="0.25">
      <c r="A802" s="3" t="s">
        <v>1690</v>
      </c>
      <c r="B802" s="3" t="s">
        <v>1691</v>
      </c>
      <c r="C802" s="3" t="s">
        <v>26</v>
      </c>
      <c r="D802" s="3">
        <v>39</v>
      </c>
      <c r="E802" s="3" t="s">
        <v>201</v>
      </c>
      <c r="F802" s="3" t="s">
        <v>83</v>
      </c>
      <c r="G802" s="3" t="s">
        <v>29</v>
      </c>
      <c r="H802" s="3">
        <v>15</v>
      </c>
      <c r="I802" s="4">
        <v>50</v>
      </c>
      <c r="K802" s="3">
        <v>0</v>
      </c>
      <c r="L802" s="3">
        <v>0.8</v>
      </c>
      <c r="M802" s="3" t="s">
        <v>22</v>
      </c>
      <c r="N802" s="3" t="s">
        <v>67</v>
      </c>
      <c r="O802" s="3">
        <v>15</v>
      </c>
      <c r="P802" s="3">
        <v>2</v>
      </c>
      <c r="Q802" s="3" t="str">
        <f t="shared" si="12"/>
        <v>Average</v>
      </c>
    </row>
    <row r="803" spans="1:17" customFormat="1" hidden="1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s="1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  <c r="Q803" t="str">
        <f t="shared" si="12"/>
        <v>Average</v>
      </c>
    </row>
    <row r="804" spans="1:17" customFormat="1" hidden="1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s="1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  <c r="Q804" t="str">
        <f t="shared" si="12"/>
        <v>Average</v>
      </c>
    </row>
    <row r="805" spans="1:17" x14ac:dyDescent="0.25">
      <c r="A805" s="3" t="s">
        <v>1696</v>
      </c>
      <c r="B805" s="3" t="s">
        <v>1697</v>
      </c>
      <c r="C805" s="3" t="s">
        <v>18</v>
      </c>
      <c r="D805" s="3">
        <v>51</v>
      </c>
      <c r="E805" s="3" t="s">
        <v>77</v>
      </c>
      <c r="F805" s="3" t="s">
        <v>28</v>
      </c>
      <c r="G805" s="3" t="s">
        <v>125</v>
      </c>
      <c r="H805" s="3">
        <v>30</v>
      </c>
      <c r="I805" s="4">
        <v>75</v>
      </c>
      <c r="K805" s="3" t="b">
        <v>1</v>
      </c>
      <c r="L805" s="3">
        <v>0.74</v>
      </c>
      <c r="M805" s="3" t="s">
        <v>22</v>
      </c>
      <c r="N805" s="3" t="s">
        <v>23</v>
      </c>
      <c r="O805" s="3">
        <v>20</v>
      </c>
      <c r="P805" s="3">
        <v>11</v>
      </c>
      <c r="Q805" s="3" t="str">
        <f t="shared" si="12"/>
        <v>Average</v>
      </c>
    </row>
    <row r="806" spans="1:17" x14ac:dyDescent="0.25">
      <c r="A806" s="3" t="s">
        <v>1698</v>
      </c>
      <c r="B806" s="3" t="s">
        <v>1699</v>
      </c>
      <c r="C806" s="3" t="s">
        <v>34</v>
      </c>
      <c r="D806" s="3">
        <v>23</v>
      </c>
      <c r="E806" s="3" t="s">
        <v>35</v>
      </c>
      <c r="F806" s="3" t="s">
        <v>35</v>
      </c>
      <c r="G806" s="3" t="s">
        <v>51</v>
      </c>
      <c r="H806" s="3">
        <v>4</v>
      </c>
      <c r="I806" s="4">
        <v>50</v>
      </c>
      <c r="J806" s="3">
        <v>4.5</v>
      </c>
      <c r="K806" s="3" t="s">
        <v>37</v>
      </c>
      <c r="L806" s="3">
        <v>0.98</v>
      </c>
      <c r="M806" s="3" t="s">
        <v>22</v>
      </c>
      <c r="N806" s="3" t="s">
        <v>31</v>
      </c>
      <c r="O806" s="3">
        <v>1</v>
      </c>
      <c r="P806" s="3">
        <v>3</v>
      </c>
      <c r="Q806" s="3" t="str">
        <f t="shared" si="12"/>
        <v>GOOD</v>
      </c>
    </row>
    <row r="807" spans="1:17" customFormat="1" hidden="1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s="1" t="s">
        <v>325</v>
      </c>
      <c r="K807" t="s">
        <v>85</v>
      </c>
      <c r="L807">
        <v>0.84</v>
      </c>
      <c r="M807" t="s">
        <v>74</v>
      </c>
      <c r="N807" t="s">
        <v>38</v>
      </c>
      <c r="O807">
        <v>5</v>
      </c>
      <c r="P807">
        <v>1</v>
      </c>
      <c r="Q807" t="str">
        <f t="shared" si="12"/>
        <v>Average</v>
      </c>
    </row>
    <row r="808" spans="1:17" customFormat="1" hidden="1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s="1" t="s">
        <v>132</v>
      </c>
      <c r="J808">
        <v>5</v>
      </c>
      <c r="K808" t="s">
        <v>78</v>
      </c>
      <c r="L808">
        <v>0.75</v>
      </c>
      <c r="M808" t="s">
        <v>74</v>
      </c>
      <c r="N808" t="s">
        <v>31</v>
      </c>
      <c r="O808">
        <v>4</v>
      </c>
      <c r="P808">
        <v>2</v>
      </c>
      <c r="Q808" t="str">
        <f t="shared" si="12"/>
        <v>GOOD</v>
      </c>
    </row>
    <row r="809" spans="1:17" x14ac:dyDescent="0.25">
      <c r="A809" s="3" t="s">
        <v>1704</v>
      </c>
      <c r="B809" s="3" t="s">
        <v>1705</v>
      </c>
      <c r="C809" s="3" t="s">
        <v>108</v>
      </c>
      <c r="D809" s="3">
        <v>56</v>
      </c>
      <c r="E809" s="3" t="s">
        <v>35</v>
      </c>
      <c r="F809" s="3" t="s">
        <v>35</v>
      </c>
      <c r="G809" s="3" t="s">
        <v>29</v>
      </c>
      <c r="H809" s="3">
        <v>23</v>
      </c>
      <c r="I809" s="4">
        <v>75</v>
      </c>
      <c r="J809" s="3">
        <v>3.9</v>
      </c>
      <c r="K809" s="3">
        <v>1</v>
      </c>
      <c r="M809" s="3" t="s">
        <v>22</v>
      </c>
      <c r="N809" s="3" t="s">
        <v>31</v>
      </c>
      <c r="O809" s="3">
        <v>14</v>
      </c>
      <c r="P809" s="3">
        <v>7</v>
      </c>
      <c r="Q809" s="3" t="str">
        <f t="shared" si="12"/>
        <v>GOOD</v>
      </c>
    </row>
    <row r="810" spans="1:17" customFormat="1" hidden="1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s="1" t="s">
        <v>240</v>
      </c>
      <c r="J810">
        <v>1.8</v>
      </c>
      <c r="K810" t="b">
        <v>1</v>
      </c>
      <c r="L810">
        <v>0.97</v>
      </c>
      <c r="M810" t="s">
        <v>53</v>
      </c>
      <c r="N810" t="s">
        <v>31</v>
      </c>
      <c r="O810">
        <v>3</v>
      </c>
      <c r="P810">
        <v>3</v>
      </c>
      <c r="Q810" t="str">
        <f t="shared" si="12"/>
        <v>Average</v>
      </c>
    </row>
    <row r="811" spans="1:17" x14ac:dyDescent="0.25">
      <c r="A811" s="3" t="s">
        <v>1708</v>
      </c>
      <c r="B811" s="3" t="s">
        <v>1709</v>
      </c>
      <c r="C811" s="3" t="s">
        <v>18</v>
      </c>
      <c r="D811" s="3">
        <v>46</v>
      </c>
      <c r="E811" s="3" t="s">
        <v>135</v>
      </c>
      <c r="F811" s="3" t="s">
        <v>136</v>
      </c>
      <c r="G811" s="3" t="s">
        <v>42</v>
      </c>
      <c r="H811" s="3">
        <v>28</v>
      </c>
      <c r="I811" s="4">
        <v>30</v>
      </c>
      <c r="J811" s="3">
        <v>4.2</v>
      </c>
      <c r="K811" s="3" t="b">
        <v>1</v>
      </c>
      <c r="M811" s="3" t="s">
        <v>22</v>
      </c>
      <c r="N811" s="3" t="s">
        <v>31</v>
      </c>
      <c r="O811" s="3">
        <v>16</v>
      </c>
      <c r="P811" s="3">
        <v>9</v>
      </c>
      <c r="Q811" s="3" t="str">
        <f t="shared" si="12"/>
        <v>GOOD</v>
      </c>
    </row>
    <row r="812" spans="1:17" x14ac:dyDescent="0.25">
      <c r="A812" s="3" t="s">
        <v>1710</v>
      </c>
      <c r="B812" s="3" t="s">
        <v>1711</v>
      </c>
      <c r="C812" s="3" t="s">
        <v>103</v>
      </c>
      <c r="D812" s="3">
        <v>21</v>
      </c>
      <c r="E812" s="3" t="s">
        <v>150</v>
      </c>
      <c r="F812" s="3" t="s">
        <v>151</v>
      </c>
      <c r="G812" s="3" t="s">
        <v>51</v>
      </c>
      <c r="H812" s="3">
        <v>0</v>
      </c>
      <c r="I812" s="4">
        <v>20</v>
      </c>
      <c r="J812" s="3">
        <v>2.6</v>
      </c>
      <c r="K812" s="3" t="s">
        <v>170</v>
      </c>
      <c r="L812" s="3">
        <v>0.64</v>
      </c>
      <c r="M812" s="3" t="s">
        <v>74</v>
      </c>
      <c r="N812" s="3" t="s">
        <v>31</v>
      </c>
      <c r="O812" s="3">
        <v>3</v>
      </c>
      <c r="P812" s="3">
        <v>2</v>
      </c>
      <c r="Q812" s="3" t="str">
        <f t="shared" si="12"/>
        <v>Average</v>
      </c>
    </row>
    <row r="813" spans="1:17" x14ac:dyDescent="0.25">
      <c r="A813" s="3" t="s">
        <v>1712</v>
      </c>
      <c r="B813" s="3" t="s">
        <v>1713</v>
      </c>
      <c r="C813" s="3" t="s">
        <v>56</v>
      </c>
      <c r="D813" s="3">
        <v>52</v>
      </c>
      <c r="E813" s="3" t="s">
        <v>135</v>
      </c>
      <c r="F813" s="3" t="s">
        <v>136</v>
      </c>
      <c r="G813" s="3" t="s">
        <v>59</v>
      </c>
      <c r="H813" s="3">
        <v>30</v>
      </c>
      <c r="I813" s="4">
        <v>30</v>
      </c>
      <c r="J813" s="3">
        <v>2</v>
      </c>
      <c r="K813" s="3">
        <v>1</v>
      </c>
      <c r="L813" s="3">
        <v>0.68</v>
      </c>
      <c r="M813" s="3" t="s">
        <v>53</v>
      </c>
      <c r="N813" s="3" t="s">
        <v>31</v>
      </c>
      <c r="O813" s="3">
        <v>10</v>
      </c>
      <c r="P813" s="3">
        <v>6</v>
      </c>
      <c r="Q813" s="3" t="str">
        <f t="shared" si="12"/>
        <v>Average</v>
      </c>
    </row>
    <row r="814" spans="1:17" customFormat="1" hidden="1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s="1" t="s">
        <v>181</v>
      </c>
      <c r="J814">
        <v>2.7</v>
      </c>
      <c r="K814">
        <v>1</v>
      </c>
      <c r="L814">
        <v>0.67</v>
      </c>
      <c r="M814" t="s">
        <v>74</v>
      </c>
      <c r="N814" t="s">
        <v>38</v>
      </c>
      <c r="O814">
        <v>12</v>
      </c>
      <c r="P814">
        <v>2</v>
      </c>
      <c r="Q814" t="str">
        <f t="shared" si="12"/>
        <v>Average</v>
      </c>
    </row>
    <row r="815" spans="1:17" x14ac:dyDescent="0.25">
      <c r="A815" s="3" t="s">
        <v>1716</v>
      </c>
      <c r="B815" s="3" t="s">
        <v>1717</v>
      </c>
      <c r="C815" s="3" t="s">
        <v>18</v>
      </c>
      <c r="D815" s="3">
        <v>31</v>
      </c>
      <c r="E815" s="3" t="s">
        <v>27</v>
      </c>
      <c r="F815" s="3" t="s">
        <v>28</v>
      </c>
      <c r="G815" s="3" t="s">
        <v>29</v>
      </c>
      <c r="H815" s="3">
        <v>0</v>
      </c>
      <c r="I815" s="4">
        <v>30</v>
      </c>
      <c r="J815" s="3">
        <v>2.2999999999999998</v>
      </c>
      <c r="K815" s="3" t="s">
        <v>170</v>
      </c>
      <c r="L815" s="3">
        <v>0.79</v>
      </c>
      <c r="M815" s="3" t="s">
        <v>53</v>
      </c>
      <c r="N815" s="3" t="s">
        <v>23</v>
      </c>
      <c r="O815" s="3">
        <v>2</v>
      </c>
      <c r="P815" s="3">
        <v>1</v>
      </c>
      <c r="Q815" s="3" t="str">
        <f t="shared" si="12"/>
        <v>Average</v>
      </c>
    </row>
    <row r="816" spans="1:17" customFormat="1" hidden="1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s="1" t="s">
        <v>43</v>
      </c>
      <c r="J816">
        <v>3.8</v>
      </c>
      <c r="K816" t="b">
        <v>1</v>
      </c>
      <c r="L816">
        <v>1</v>
      </c>
      <c r="M816" t="s">
        <v>79</v>
      </c>
      <c r="N816" t="s">
        <v>67</v>
      </c>
      <c r="O816">
        <v>2</v>
      </c>
      <c r="P816">
        <v>2</v>
      </c>
      <c r="Q816" t="str">
        <f t="shared" si="12"/>
        <v>GOOD</v>
      </c>
    </row>
    <row r="817" spans="1:17" x14ac:dyDescent="0.25">
      <c r="A817" s="3" t="s">
        <v>1720</v>
      </c>
      <c r="B817" s="3" t="s">
        <v>1721</v>
      </c>
      <c r="C817" s="3" t="s">
        <v>18</v>
      </c>
      <c r="D817" s="3">
        <v>38</v>
      </c>
      <c r="E817" s="3" t="s">
        <v>77</v>
      </c>
      <c r="F817" s="3" t="s">
        <v>28</v>
      </c>
      <c r="G817" s="3" t="s">
        <v>84</v>
      </c>
      <c r="H817" s="3">
        <v>10</v>
      </c>
      <c r="I817" s="4">
        <v>40</v>
      </c>
      <c r="K817" s="3" t="s">
        <v>37</v>
      </c>
      <c r="L817" s="3">
        <v>0.66</v>
      </c>
      <c r="M817" s="3" t="s">
        <v>74</v>
      </c>
      <c r="N817" s="3" t="s">
        <v>31</v>
      </c>
      <c r="O817" s="3">
        <v>11</v>
      </c>
      <c r="P817" s="3">
        <v>13</v>
      </c>
      <c r="Q817" s="3" t="str">
        <f t="shared" si="12"/>
        <v>Average</v>
      </c>
    </row>
    <row r="818" spans="1:17" customFormat="1" hidden="1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s="1" t="s">
        <v>60</v>
      </c>
      <c r="J818">
        <v>4.5999999999999996</v>
      </c>
      <c r="K818" t="s">
        <v>170</v>
      </c>
      <c r="L818">
        <v>0.97</v>
      </c>
      <c r="M818" t="s">
        <v>74</v>
      </c>
      <c r="N818" t="s">
        <v>67</v>
      </c>
      <c r="O818">
        <v>19</v>
      </c>
      <c r="P818">
        <v>4</v>
      </c>
      <c r="Q818" t="str">
        <f t="shared" si="12"/>
        <v>GOOD</v>
      </c>
    </row>
    <row r="819" spans="1:17" x14ac:dyDescent="0.25">
      <c r="A819" s="3" t="s">
        <v>1724</v>
      </c>
      <c r="B819" s="3" t="s">
        <v>1725</v>
      </c>
      <c r="C819" s="3" t="s">
        <v>103</v>
      </c>
      <c r="D819" s="3">
        <v>53</v>
      </c>
      <c r="E819" s="3" t="s">
        <v>57</v>
      </c>
      <c r="F819" s="3" t="s">
        <v>58</v>
      </c>
      <c r="G819" s="3" t="s">
        <v>125</v>
      </c>
      <c r="H819" s="3">
        <v>21</v>
      </c>
      <c r="I819" s="4">
        <v>100</v>
      </c>
      <c r="J819" s="3">
        <v>3.4</v>
      </c>
      <c r="K819" s="3">
        <v>0</v>
      </c>
      <c r="L819" s="3">
        <v>0.62</v>
      </c>
      <c r="M819" s="3" t="s">
        <v>22</v>
      </c>
      <c r="N819" s="3" t="s">
        <v>38</v>
      </c>
      <c r="O819" s="3">
        <v>17</v>
      </c>
      <c r="P819" s="3">
        <v>3</v>
      </c>
      <c r="Q819" s="3" t="str">
        <f t="shared" si="12"/>
        <v>Average</v>
      </c>
    </row>
    <row r="820" spans="1:17" customFormat="1" hidden="1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s="1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  <c r="Q820" t="str">
        <f t="shared" si="12"/>
        <v>Average</v>
      </c>
    </row>
    <row r="821" spans="1:17" x14ac:dyDescent="0.25">
      <c r="A821" s="3" t="s">
        <v>1728</v>
      </c>
      <c r="B821" s="3" t="s">
        <v>1729</v>
      </c>
      <c r="C821" s="3" t="s">
        <v>88</v>
      </c>
      <c r="D821" s="3">
        <v>40</v>
      </c>
      <c r="E821" s="3" t="s">
        <v>104</v>
      </c>
      <c r="F821" s="3" t="s">
        <v>105</v>
      </c>
      <c r="G821" s="3" t="s">
        <v>21</v>
      </c>
      <c r="H821" s="3">
        <v>14</v>
      </c>
      <c r="I821" s="4">
        <v>75</v>
      </c>
      <c r="J821" s="3">
        <v>0</v>
      </c>
      <c r="K821" s="3">
        <v>1</v>
      </c>
      <c r="L821" s="3">
        <v>0.79</v>
      </c>
      <c r="M821" s="3" t="s">
        <v>74</v>
      </c>
      <c r="N821" s="3" t="s">
        <v>23</v>
      </c>
      <c r="O821" s="3">
        <v>14</v>
      </c>
      <c r="P821" s="3">
        <v>1</v>
      </c>
      <c r="Q821" s="3" t="str">
        <f t="shared" si="12"/>
        <v>Average</v>
      </c>
    </row>
    <row r="822" spans="1:17" x14ac:dyDescent="0.25">
      <c r="A822" s="3" t="s">
        <v>1730</v>
      </c>
      <c r="B822" s="3" t="s">
        <v>1731</v>
      </c>
      <c r="C822" s="3" t="s">
        <v>46</v>
      </c>
      <c r="D822" s="3">
        <v>49</v>
      </c>
      <c r="E822" s="3" t="s">
        <v>186</v>
      </c>
      <c r="F822" s="3" t="s">
        <v>187</v>
      </c>
      <c r="G822" s="3" t="s">
        <v>29</v>
      </c>
      <c r="H822" s="3">
        <v>15</v>
      </c>
      <c r="I822" s="4">
        <v>40</v>
      </c>
      <c r="J822" s="3">
        <v>3.9</v>
      </c>
      <c r="K822" s="3" t="b">
        <v>0</v>
      </c>
      <c r="L822" s="3">
        <v>0.86</v>
      </c>
      <c r="M822" s="3" t="s">
        <v>79</v>
      </c>
      <c r="N822" s="3" t="s">
        <v>67</v>
      </c>
      <c r="O822" s="3">
        <v>15</v>
      </c>
      <c r="P822" s="3">
        <v>11</v>
      </c>
      <c r="Q822" s="3" t="str">
        <f t="shared" si="12"/>
        <v>GOOD</v>
      </c>
    </row>
    <row r="823" spans="1:17" customFormat="1" hidden="1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s="1" t="s">
        <v>52</v>
      </c>
      <c r="J823">
        <v>4.2</v>
      </c>
      <c r="K823">
        <v>0</v>
      </c>
      <c r="L823">
        <v>0.65</v>
      </c>
      <c r="M823" t="s">
        <v>74</v>
      </c>
      <c r="N823" t="s">
        <v>31</v>
      </c>
      <c r="O823">
        <v>13</v>
      </c>
      <c r="P823">
        <v>5</v>
      </c>
      <c r="Q823" t="str">
        <f t="shared" si="12"/>
        <v>GOOD</v>
      </c>
    </row>
    <row r="824" spans="1:17" x14ac:dyDescent="0.25">
      <c r="A824" s="3" t="s">
        <v>1734</v>
      </c>
      <c r="B824" s="3" t="s">
        <v>1735</v>
      </c>
      <c r="C824" s="3" t="s">
        <v>46</v>
      </c>
      <c r="D824" s="3">
        <v>37</v>
      </c>
      <c r="E824" s="3" t="s">
        <v>96</v>
      </c>
      <c r="F824" s="3" t="s">
        <v>97</v>
      </c>
      <c r="G824" s="3" t="s">
        <v>51</v>
      </c>
      <c r="H824" s="3">
        <v>6</v>
      </c>
      <c r="I824" s="4">
        <v>20</v>
      </c>
      <c r="L824" s="3">
        <v>0.99</v>
      </c>
      <c r="M824" s="3" t="s">
        <v>79</v>
      </c>
      <c r="N824" s="3" t="s">
        <v>38</v>
      </c>
      <c r="O824" s="3">
        <v>14</v>
      </c>
      <c r="P824" s="3">
        <v>6</v>
      </c>
      <c r="Q824" s="3" t="str">
        <f t="shared" si="12"/>
        <v>Average</v>
      </c>
    </row>
    <row r="825" spans="1:17" x14ac:dyDescent="0.25">
      <c r="A825" s="3" t="s">
        <v>1736</v>
      </c>
      <c r="B825" s="3" t="s">
        <v>1737</v>
      </c>
      <c r="C825" s="3" t="s">
        <v>34</v>
      </c>
      <c r="D825" s="3">
        <v>21</v>
      </c>
      <c r="E825" s="3" t="s">
        <v>150</v>
      </c>
      <c r="F825" s="3" t="s">
        <v>151</v>
      </c>
      <c r="G825" s="3" t="s">
        <v>36</v>
      </c>
      <c r="H825" s="3">
        <v>2</v>
      </c>
      <c r="I825" s="4">
        <v>100</v>
      </c>
      <c r="J825" s="3">
        <v>3.6</v>
      </c>
      <c r="K825" s="3" t="b">
        <v>0</v>
      </c>
      <c r="L825" s="3">
        <v>85</v>
      </c>
      <c r="M825" s="3" t="s">
        <v>79</v>
      </c>
      <c r="N825" s="3" t="s">
        <v>23</v>
      </c>
      <c r="O825" s="3">
        <v>3</v>
      </c>
      <c r="P825" s="3">
        <v>2</v>
      </c>
      <c r="Q825" s="3" t="str">
        <f t="shared" si="12"/>
        <v>GOOD</v>
      </c>
    </row>
    <row r="826" spans="1:17" customFormat="1" hidden="1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s="1" t="s">
        <v>109</v>
      </c>
      <c r="K826" t="s">
        <v>78</v>
      </c>
      <c r="L826">
        <v>0.81</v>
      </c>
      <c r="M826" t="s">
        <v>79</v>
      </c>
      <c r="N826" t="s">
        <v>67</v>
      </c>
      <c r="O826">
        <v>5</v>
      </c>
      <c r="P826">
        <v>1</v>
      </c>
      <c r="Q826" t="str">
        <f t="shared" si="12"/>
        <v>Average</v>
      </c>
    </row>
    <row r="827" spans="1:17" customFormat="1" hidden="1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s="1" t="s">
        <v>43</v>
      </c>
      <c r="J827">
        <v>2.1</v>
      </c>
      <c r="K827" t="s">
        <v>37</v>
      </c>
      <c r="L827">
        <v>0.64</v>
      </c>
      <c r="M827" t="s">
        <v>79</v>
      </c>
      <c r="N827" t="s">
        <v>67</v>
      </c>
      <c r="O827">
        <v>1</v>
      </c>
      <c r="P827">
        <v>1</v>
      </c>
      <c r="Q827" t="str">
        <f t="shared" si="12"/>
        <v>Average</v>
      </c>
    </row>
    <row r="828" spans="1:17" x14ac:dyDescent="0.25">
      <c r="A828" s="3" t="s">
        <v>1742</v>
      </c>
      <c r="B828" s="3" t="s">
        <v>1743</v>
      </c>
      <c r="C828" s="3" t="s">
        <v>70</v>
      </c>
      <c r="D828" s="3">
        <v>20</v>
      </c>
      <c r="E828" s="3" t="s">
        <v>82</v>
      </c>
      <c r="F828" s="3" t="s">
        <v>83</v>
      </c>
      <c r="G828" s="3" t="s">
        <v>125</v>
      </c>
      <c r="H828" s="3">
        <v>2</v>
      </c>
      <c r="I828" s="4">
        <v>20</v>
      </c>
      <c r="J828" s="3">
        <v>3.9</v>
      </c>
      <c r="K828" s="3" t="b">
        <v>0</v>
      </c>
      <c r="L828" s="3">
        <v>0.84</v>
      </c>
      <c r="M828" s="3" t="s">
        <v>53</v>
      </c>
      <c r="N828" s="3" t="s">
        <v>31</v>
      </c>
      <c r="O828" s="3">
        <v>5</v>
      </c>
      <c r="P828" s="3">
        <v>1</v>
      </c>
      <c r="Q828" s="3" t="str">
        <f t="shared" si="12"/>
        <v>GOOD</v>
      </c>
    </row>
    <row r="829" spans="1:17" x14ac:dyDescent="0.25">
      <c r="A829" s="3" t="s">
        <v>1744</v>
      </c>
      <c r="B829" s="3" t="s">
        <v>1745</v>
      </c>
      <c r="C829" s="3" t="s">
        <v>18</v>
      </c>
      <c r="D829" s="3">
        <v>26</v>
      </c>
      <c r="E829" s="3" t="s">
        <v>135</v>
      </c>
      <c r="F829" s="3" t="s">
        <v>136</v>
      </c>
      <c r="G829" s="3" t="s">
        <v>125</v>
      </c>
      <c r="H829" s="3">
        <v>2</v>
      </c>
      <c r="I829" s="4">
        <v>40</v>
      </c>
      <c r="J829" s="3">
        <v>0</v>
      </c>
      <c r="L829" s="3">
        <v>0.66</v>
      </c>
      <c r="M829" s="3" t="s">
        <v>22</v>
      </c>
      <c r="N829" s="3" t="s">
        <v>23</v>
      </c>
      <c r="O829" s="3">
        <v>4</v>
      </c>
      <c r="P829" s="3">
        <v>3</v>
      </c>
      <c r="Q829" s="3" t="str">
        <f t="shared" si="12"/>
        <v>Average</v>
      </c>
    </row>
    <row r="830" spans="1:17" customFormat="1" hidden="1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s="1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  <c r="Q830" t="str">
        <f t="shared" si="12"/>
        <v>Average</v>
      </c>
    </row>
    <row r="831" spans="1:17" x14ac:dyDescent="0.25">
      <c r="A831" s="3" t="s">
        <v>1748</v>
      </c>
      <c r="B831" s="3" t="s">
        <v>1749</v>
      </c>
      <c r="C831" s="3" t="s">
        <v>108</v>
      </c>
      <c r="D831" s="3">
        <v>50</v>
      </c>
      <c r="E831" s="3" t="s">
        <v>201</v>
      </c>
      <c r="F831" s="3" t="s">
        <v>83</v>
      </c>
      <c r="G831" s="3" t="s">
        <v>51</v>
      </c>
      <c r="H831" s="3">
        <v>28</v>
      </c>
      <c r="I831" s="4">
        <v>30</v>
      </c>
      <c r="J831" s="3">
        <v>1.8</v>
      </c>
      <c r="M831" s="3" t="s">
        <v>74</v>
      </c>
      <c r="N831" s="3" t="s">
        <v>23</v>
      </c>
      <c r="O831" s="3">
        <v>15</v>
      </c>
      <c r="P831" s="3">
        <v>9</v>
      </c>
      <c r="Q831" s="3" t="str">
        <f t="shared" si="12"/>
        <v>Average</v>
      </c>
    </row>
    <row r="832" spans="1:17" x14ac:dyDescent="0.25">
      <c r="A832" s="3" t="s">
        <v>1750</v>
      </c>
      <c r="B832" s="3" t="s">
        <v>1751</v>
      </c>
      <c r="C832" s="3" t="s">
        <v>88</v>
      </c>
      <c r="D832" s="3">
        <v>54</v>
      </c>
      <c r="E832" s="3" t="s">
        <v>57</v>
      </c>
      <c r="F832" s="3" t="s">
        <v>58</v>
      </c>
      <c r="G832" s="3" t="s">
        <v>51</v>
      </c>
      <c r="H832" s="3">
        <v>4</v>
      </c>
      <c r="I832" s="4">
        <v>20</v>
      </c>
      <c r="J832" s="3">
        <v>1.1000000000000001</v>
      </c>
      <c r="K832" s="3">
        <v>1</v>
      </c>
      <c r="L832" s="3">
        <v>0.63</v>
      </c>
      <c r="M832" s="3" t="s">
        <v>53</v>
      </c>
      <c r="N832" s="3" t="s">
        <v>23</v>
      </c>
      <c r="O832" s="3">
        <v>3</v>
      </c>
      <c r="P832" s="3">
        <v>2</v>
      </c>
      <c r="Q832" s="3" t="str">
        <f t="shared" si="12"/>
        <v>Average</v>
      </c>
    </row>
    <row r="833" spans="1:17" x14ac:dyDescent="0.25">
      <c r="A833" s="3" t="s">
        <v>1752</v>
      </c>
      <c r="B833" s="3" t="s">
        <v>1753</v>
      </c>
      <c r="C833" s="3" t="s">
        <v>34</v>
      </c>
      <c r="D833" s="3">
        <v>54</v>
      </c>
      <c r="E833" s="3" t="s">
        <v>201</v>
      </c>
      <c r="F833" s="3" t="s">
        <v>83</v>
      </c>
      <c r="G833" s="3" t="s">
        <v>21</v>
      </c>
      <c r="H833" s="3">
        <v>3</v>
      </c>
      <c r="I833" s="4">
        <v>20</v>
      </c>
      <c r="J833" s="3">
        <v>1.6</v>
      </c>
      <c r="K833" s="3" t="s">
        <v>85</v>
      </c>
      <c r="L833" s="3">
        <v>0.7</v>
      </c>
      <c r="M833" s="3" t="s">
        <v>53</v>
      </c>
      <c r="N833" s="3" t="s">
        <v>38</v>
      </c>
      <c r="O833" s="3">
        <v>1</v>
      </c>
      <c r="P833" s="3">
        <v>2</v>
      </c>
      <c r="Q833" s="3" t="str">
        <f t="shared" si="12"/>
        <v>Average</v>
      </c>
    </row>
    <row r="834" spans="1:17" customFormat="1" hidden="1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s="1" t="s">
        <v>52</v>
      </c>
      <c r="J834">
        <v>3.1</v>
      </c>
      <c r="L834">
        <v>0.9</v>
      </c>
      <c r="M834" t="s">
        <v>74</v>
      </c>
      <c r="N834" t="s">
        <v>23</v>
      </c>
      <c r="O834">
        <v>1</v>
      </c>
      <c r="P834">
        <v>1</v>
      </c>
      <c r="Q834" t="str">
        <f t="shared" ref="Q834:Q897" si="13">IF(J834&lt;3.5,"Average","GOOD")</f>
        <v>Average</v>
      </c>
    </row>
    <row r="835" spans="1:17" x14ac:dyDescent="0.25">
      <c r="A835" s="3" t="s">
        <v>1756</v>
      </c>
      <c r="B835" s="3" t="s">
        <v>1757</v>
      </c>
      <c r="C835" s="3" t="s">
        <v>88</v>
      </c>
      <c r="D835" s="3">
        <v>20</v>
      </c>
      <c r="E835" s="3" t="s">
        <v>19</v>
      </c>
      <c r="F835" s="3" t="s">
        <v>20</v>
      </c>
      <c r="G835" s="3" t="s">
        <v>100</v>
      </c>
      <c r="H835" s="3">
        <v>1</v>
      </c>
      <c r="I835" s="4">
        <v>50</v>
      </c>
      <c r="J835" s="3">
        <v>3.4</v>
      </c>
      <c r="K835" s="3">
        <v>1</v>
      </c>
      <c r="L835" s="3">
        <v>79</v>
      </c>
      <c r="M835" s="3" t="s">
        <v>74</v>
      </c>
      <c r="N835" s="3" t="s">
        <v>67</v>
      </c>
      <c r="O835" s="3">
        <v>2</v>
      </c>
      <c r="P835" s="3">
        <v>2</v>
      </c>
      <c r="Q835" s="3" t="str">
        <f t="shared" si="13"/>
        <v>Average</v>
      </c>
    </row>
    <row r="836" spans="1:17" x14ac:dyDescent="0.25">
      <c r="A836" s="3" t="s">
        <v>1758</v>
      </c>
      <c r="B836" s="3" t="s">
        <v>1759</v>
      </c>
      <c r="C836" s="3" t="s">
        <v>34</v>
      </c>
      <c r="D836" s="3">
        <v>29</v>
      </c>
      <c r="E836" s="3" t="s">
        <v>35</v>
      </c>
      <c r="F836" s="3" t="s">
        <v>35</v>
      </c>
      <c r="G836" s="3" t="s">
        <v>51</v>
      </c>
      <c r="H836" s="3">
        <v>8</v>
      </c>
      <c r="I836" s="4">
        <v>40</v>
      </c>
      <c r="J836" s="3">
        <v>3.1</v>
      </c>
      <c r="K836" s="3" t="s">
        <v>37</v>
      </c>
      <c r="L836" s="3">
        <v>0.6</v>
      </c>
      <c r="M836" s="3" t="s">
        <v>74</v>
      </c>
      <c r="N836" s="3" t="s">
        <v>67</v>
      </c>
      <c r="O836" s="3">
        <v>7</v>
      </c>
      <c r="P836" s="3">
        <v>9</v>
      </c>
      <c r="Q836" s="3" t="str">
        <f t="shared" si="13"/>
        <v>Average</v>
      </c>
    </row>
    <row r="837" spans="1:17" customFormat="1" hidden="1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s="1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  <c r="Q837" t="str">
        <f t="shared" si="13"/>
        <v>Average</v>
      </c>
    </row>
    <row r="838" spans="1:17" customFormat="1" hidden="1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s="1" t="s">
        <v>63</v>
      </c>
      <c r="K838" t="s">
        <v>37</v>
      </c>
      <c r="L838">
        <v>0.8</v>
      </c>
      <c r="M838" t="s">
        <v>53</v>
      </c>
      <c r="N838" t="s">
        <v>67</v>
      </c>
      <c r="O838">
        <v>7</v>
      </c>
      <c r="P838">
        <v>8</v>
      </c>
      <c r="Q838" t="str">
        <f t="shared" si="13"/>
        <v>Average</v>
      </c>
    </row>
    <row r="839" spans="1:17" customFormat="1" hidden="1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s="1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  <c r="Q839" t="str">
        <f t="shared" si="13"/>
        <v>Average</v>
      </c>
    </row>
    <row r="840" spans="1:17" customFormat="1" hidden="1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s="1" t="s">
        <v>120</v>
      </c>
      <c r="J840">
        <v>0</v>
      </c>
      <c r="K840" t="s">
        <v>37</v>
      </c>
      <c r="L840">
        <v>0.8</v>
      </c>
      <c r="M840" t="s">
        <v>22</v>
      </c>
      <c r="N840" t="s">
        <v>23</v>
      </c>
      <c r="O840">
        <v>4</v>
      </c>
      <c r="P840">
        <v>1</v>
      </c>
      <c r="Q840" t="str">
        <f t="shared" si="13"/>
        <v>Average</v>
      </c>
    </row>
    <row r="841" spans="1:17" x14ac:dyDescent="0.25">
      <c r="A841" s="3" t="s">
        <v>1768</v>
      </c>
      <c r="B841" s="3" t="s">
        <v>1769</v>
      </c>
      <c r="C841" s="3" t="s">
        <v>108</v>
      </c>
      <c r="D841" s="3">
        <v>58</v>
      </c>
      <c r="E841" s="3" t="s">
        <v>201</v>
      </c>
      <c r="F841" s="3" t="s">
        <v>83</v>
      </c>
      <c r="G841" s="3" t="s">
        <v>89</v>
      </c>
      <c r="H841" s="3">
        <v>33</v>
      </c>
      <c r="I841" s="4">
        <v>30</v>
      </c>
      <c r="J841" s="3">
        <v>3.3</v>
      </c>
      <c r="K841" s="3" t="s">
        <v>85</v>
      </c>
      <c r="L841" s="3">
        <v>0.71</v>
      </c>
      <c r="M841" s="3" t="s">
        <v>22</v>
      </c>
      <c r="N841" s="3" t="s">
        <v>67</v>
      </c>
      <c r="O841" s="3">
        <v>10</v>
      </c>
      <c r="P841" s="3">
        <v>10</v>
      </c>
      <c r="Q841" s="3" t="str">
        <f t="shared" si="13"/>
        <v>Average</v>
      </c>
    </row>
    <row r="842" spans="1:17" customFormat="1" hidden="1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I842" s="1"/>
      <c r="J842">
        <v>1.1000000000000001</v>
      </c>
      <c r="K842">
        <v>1</v>
      </c>
      <c r="L842">
        <v>0.76</v>
      </c>
      <c r="M842" t="s">
        <v>79</v>
      </c>
      <c r="N842" t="s">
        <v>38</v>
      </c>
      <c r="O842">
        <v>9</v>
      </c>
      <c r="P842">
        <v>4</v>
      </c>
      <c r="Q842" t="str">
        <f t="shared" si="13"/>
        <v>Average</v>
      </c>
    </row>
    <row r="843" spans="1:17" customFormat="1" hidden="1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s="1" t="s">
        <v>120</v>
      </c>
      <c r="J843">
        <v>4.5999999999999996</v>
      </c>
      <c r="K843">
        <v>1</v>
      </c>
      <c r="L843">
        <v>0.93</v>
      </c>
      <c r="M843" t="s">
        <v>74</v>
      </c>
      <c r="N843" t="s">
        <v>23</v>
      </c>
      <c r="O843">
        <v>10</v>
      </c>
      <c r="P843">
        <v>12</v>
      </c>
      <c r="Q843" t="str">
        <f t="shared" si="13"/>
        <v>GOOD</v>
      </c>
    </row>
    <row r="844" spans="1:17" customFormat="1" hidden="1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s="1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  <c r="Q844" t="str">
        <f t="shared" si="13"/>
        <v>Average</v>
      </c>
    </row>
    <row r="845" spans="1:17" x14ac:dyDescent="0.25">
      <c r="A845" s="3" t="s">
        <v>1776</v>
      </c>
      <c r="B845" s="3" t="s">
        <v>1777</v>
      </c>
      <c r="C845" s="3" t="s">
        <v>70</v>
      </c>
      <c r="D845" s="3">
        <v>25</v>
      </c>
      <c r="E845" s="3" t="s">
        <v>57</v>
      </c>
      <c r="F845" s="3" t="s">
        <v>58</v>
      </c>
      <c r="G845" s="3" t="s">
        <v>89</v>
      </c>
      <c r="H845" s="3">
        <v>3</v>
      </c>
      <c r="I845" s="4">
        <v>75</v>
      </c>
      <c r="K845" s="3">
        <v>0</v>
      </c>
      <c r="L845" s="3">
        <v>0.83</v>
      </c>
      <c r="M845" s="3" t="s">
        <v>22</v>
      </c>
      <c r="N845" s="3" t="s">
        <v>23</v>
      </c>
      <c r="O845" s="3">
        <v>5</v>
      </c>
      <c r="P845" s="3">
        <v>1</v>
      </c>
      <c r="Q845" s="3" t="str">
        <f t="shared" si="13"/>
        <v>Average</v>
      </c>
    </row>
    <row r="846" spans="1:17" customFormat="1" hidden="1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s="1" t="s">
        <v>240</v>
      </c>
      <c r="J846">
        <v>0</v>
      </c>
      <c r="K846">
        <v>0</v>
      </c>
      <c r="L846">
        <v>0.71</v>
      </c>
      <c r="M846" t="s">
        <v>79</v>
      </c>
      <c r="N846" t="s">
        <v>38</v>
      </c>
      <c r="O846">
        <v>17</v>
      </c>
      <c r="P846">
        <v>12</v>
      </c>
      <c r="Q846" t="str">
        <f t="shared" si="13"/>
        <v>Average</v>
      </c>
    </row>
    <row r="847" spans="1:17" customFormat="1" hidden="1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s="1" t="s">
        <v>325</v>
      </c>
      <c r="J847">
        <v>0</v>
      </c>
      <c r="K847" t="s">
        <v>78</v>
      </c>
      <c r="L847">
        <v>0.96</v>
      </c>
      <c r="M847" t="s">
        <v>74</v>
      </c>
      <c r="N847" t="s">
        <v>23</v>
      </c>
      <c r="O847">
        <v>7</v>
      </c>
      <c r="P847">
        <v>8</v>
      </c>
      <c r="Q847" t="str">
        <f t="shared" si="13"/>
        <v>Average</v>
      </c>
    </row>
    <row r="848" spans="1:17" x14ac:dyDescent="0.25">
      <c r="A848" s="3" t="s">
        <v>1782</v>
      </c>
      <c r="B848" s="3" t="s">
        <v>1783</v>
      </c>
      <c r="C848" s="3" t="s">
        <v>41</v>
      </c>
      <c r="D848" s="3">
        <v>53</v>
      </c>
      <c r="E848" s="3" t="s">
        <v>146</v>
      </c>
      <c r="F848" s="3" t="s">
        <v>147</v>
      </c>
      <c r="G848" s="3" t="s">
        <v>36</v>
      </c>
      <c r="H848" s="3">
        <v>16</v>
      </c>
      <c r="I848" s="4">
        <v>40</v>
      </c>
      <c r="J848" s="3">
        <v>0</v>
      </c>
      <c r="K848" s="3" t="s">
        <v>170</v>
      </c>
      <c r="M848" s="3" t="s">
        <v>74</v>
      </c>
      <c r="N848" s="3" t="s">
        <v>23</v>
      </c>
      <c r="O848" s="3">
        <v>10</v>
      </c>
      <c r="P848" s="3">
        <v>13</v>
      </c>
      <c r="Q848" s="3" t="str">
        <f t="shared" si="13"/>
        <v>Average</v>
      </c>
    </row>
    <row r="849" spans="1:17" x14ac:dyDescent="0.25">
      <c r="A849" s="3" t="s">
        <v>1784</v>
      </c>
      <c r="B849" s="3" t="s">
        <v>1785</v>
      </c>
      <c r="C849" s="3" t="s">
        <v>34</v>
      </c>
      <c r="D849" s="3">
        <v>22</v>
      </c>
      <c r="E849" s="3" t="s">
        <v>135</v>
      </c>
      <c r="F849" s="3" t="s">
        <v>136</v>
      </c>
      <c r="G849" s="3" t="s">
        <v>51</v>
      </c>
      <c r="H849" s="3">
        <v>3</v>
      </c>
      <c r="I849" s="4">
        <v>75</v>
      </c>
      <c r="J849" s="3">
        <v>3.4</v>
      </c>
      <c r="K849" s="3" t="s">
        <v>85</v>
      </c>
      <c r="L849" s="3">
        <v>0.65</v>
      </c>
      <c r="M849" s="3" t="s">
        <v>74</v>
      </c>
      <c r="N849" s="3" t="s">
        <v>38</v>
      </c>
      <c r="O849" s="3">
        <v>4</v>
      </c>
      <c r="P849" s="3">
        <v>1</v>
      </c>
      <c r="Q849" s="3" t="str">
        <f t="shared" si="13"/>
        <v>Average</v>
      </c>
    </row>
    <row r="850" spans="1:17" customFormat="1" hidden="1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s="1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  <c r="Q850" t="str">
        <f t="shared" si="13"/>
        <v>Average</v>
      </c>
    </row>
    <row r="851" spans="1:17" x14ac:dyDescent="0.25">
      <c r="A851" s="3" t="s">
        <v>1788</v>
      </c>
      <c r="B851" s="3" t="s">
        <v>1789</v>
      </c>
      <c r="C851" s="3" t="s">
        <v>26</v>
      </c>
      <c r="D851" s="3">
        <v>47</v>
      </c>
      <c r="E851" s="3" t="s">
        <v>146</v>
      </c>
      <c r="F851" s="3" t="s">
        <v>147</v>
      </c>
      <c r="G851" s="3" t="s">
        <v>89</v>
      </c>
      <c r="H851" s="3">
        <v>16</v>
      </c>
      <c r="I851" s="4">
        <v>50</v>
      </c>
      <c r="J851" s="3">
        <v>1.9</v>
      </c>
      <c r="K851" s="3">
        <v>0</v>
      </c>
      <c r="L851" s="3">
        <v>0.71</v>
      </c>
      <c r="M851" s="3" t="s">
        <v>79</v>
      </c>
      <c r="N851" s="3" t="s">
        <v>38</v>
      </c>
      <c r="O851" s="3">
        <v>18</v>
      </c>
      <c r="P851" s="3">
        <v>4</v>
      </c>
      <c r="Q851" s="3" t="str">
        <f t="shared" si="13"/>
        <v>Average</v>
      </c>
    </row>
    <row r="852" spans="1:17" x14ac:dyDescent="0.25">
      <c r="A852" s="3" t="s">
        <v>1790</v>
      </c>
      <c r="B852" s="3" t="s">
        <v>1791</v>
      </c>
      <c r="C852" s="3" t="s">
        <v>108</v>
      </c>
      <c r="D852" s="3">
        <v>24</v>
      </c>
      <c r="E852" s="3" t="s">
        <v>146</v>
      </c>
      <c r="F852" s="3" t="s">
        <v>147</v>
      </c>
      <c r="G852" s="3" t="s">
        <v>42</v>
      </c>
      <c r="H852" s="3">
        <v>6</v>
      </c>
      <c r="I852" s="4">
        <v>50</v>
      </c>
      <c r="J852" s="3">
        <v>1.4</v>
      </c>
      <c r="K852" s="3" t="s">
        <v>85</v>
      </c>
      <c r="L852" s="3">
        <v>63</v>
      </c>
      <c r="M852" s="3" t="s">
        <v>22</v>
      </c>
      <c r="N852" s="3" t="s">
        <v>38</v>
      </c>
      <c r="O852" s="3">
        <v>15</v>
      </c>
      <c r="P852" s="3">
        <v>9</v>
      </c>
      <c r="Q852" s="3" t="str">
        <f t="shared" si="13"/>
        <v>Average</v>
      </c>
    </row>
    <row r="853" spans="1:17" customFormat="1" hidden="1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s="1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  <c r="Q853" t="str">
        <f t="shared" si="13"/>
        <v>GOOD</v>
      </c>
    </row>
    <row r="854" spans="1:17" customFormat="1" hidden="1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s="1" t="s">
        <v>52</v>
      </c>
      <c r="K854" t="s">
        <v>170</v>
      </c>
      <c r="L854">
        <v>0.97</v>
      </c>
      <c r="M854" t="s">
        <v>22</v>
      </c>
      <c r="N854" t="s">
        <v>67</v>
      </c>
      <c r="O854">
        <v>11</v>
      </c>
      <c r="P854">
        <v>6</v>
      </c>
      <c r="Q854" t="str">
        <f t="shared" si="13"/>
        <v>Average</v>
      </c>
    </row>
    <row r="855" spans="1:17" customFormat="1" hidden="1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s="1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  <c r="Q855" t="str">
        <f t="shared" si="13"/>
        <v>GOOD</v>
      </c>
    </row>
    <row r="856" spans="1:17" customFormat="1" hidden="1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s="1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  <c r="Q856" t="str">
        <f t="shared" si="13"/>
        <v>Average</v>
      </c>
    </row>
    <row r="857" spans="1:17" customFormat="1" hidden="1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I857" s="1"/>
      <c r="J857">
        <v>1.3</v>
      </c>
      <c r="K857">
        <v>0</v>
      </c>
      <c r="L857">
        <v>0.85</v>
      </c>
      <c r="M857" t="s">
        <v>74</v>
      </c>
      <c r="N857" t="s">
        <v>23</v>
      </c>
      <c r="O857">
        <v>7</v>
      </c>
      <c r="P857">
        <v>2</v>
      </c>
      <c r="Q857" t="str">
        <f t="shared" si="13"/>
        <v>Average</v>
      </c>
    </row>
    <row r="858" spans="1:17" customFormat="1" hidden="1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s="1" t="s">
        <v>109</v>
      </c>
      <c r="J858">
        <v>2.9</v>
      </c>
      <c r="K858" t="s">
        <v>170</v>
      </c>
      <c r="L858">
        <v>0.82</v>
      </c>
      <c r="M858" t="s">
        <v>22</v>
      </c>
      <c r="N858" t="s">
        <v>31</v>
      </c>
      <c r="O858">
        <v>14</v>
      </c>
      <c r="P858">
        <v>8</v>
      </c>
      <c r="Q858" t="str">
        <f t="shared" si="13"/>
        <v>Average</v>
      </c>
    </row>
    <row r="859" spans="1:17" customFormat="1" hidden="1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s="1" t="s">
        <v>63</v>
      </c>
      <c r="J859">
        <v>4.3</v>
      </c>
      <c r="K859">
        <v>0</v>
      </c>
      <c r="L859">
        <v>0.95</v>
      </c>
      <c r="M859" t="s">
        <v>53</v>
      </c>
      <c r="N859" t="s">
        <v>31</v>
      </c>
      <c r="O859">
        <v>14</v>
      </c>
      <c r="P859">
        <v>12</v>
      </c>
      <c r="Q859" t="str">
        <f t="shared" si="13"/>
        <v>GOOD</v>
      </c>
    </row>
    <row r="860" spans="1:17" customFormat="1" hidden="1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I860" s="1"/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  <c r="Q860" t="str">
        <f t="shared" si="13"/>
        <v>Average</v>
      </c>
    </row>
    <row r="861" spans="1:17" customFormat="1" hidden="1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s="1" t="s">
        <v>73</v>
      </c>
      <c r="J861">
        <v>4.2</v>
      </c>
      <c r="L861">
        <v>0.96</v>
      </c>
      <c r="M861" t="s">
        <v>22</v>
      </c>
      <c r="N861" t="s">
        <v>38</v>
      </c>
      <c r="O861">
        <v>1</v>
      </c>
      <c r="P861">
        <v>1</v>
      </c>
      <c r="Q861" t="str">
        <f t="shared" si="13"/>
        <v>GOOD</v>
      </c>
    </row>
    <row r="862" spans="1:17" x14ac:dyDescent="0.25">
      <c r="A862" s="3" t="s">
        <v>1810</v>
      </c>
      <c r="B862" s="3" t="s">
        <v>1811</v>
      </c>
      <c r="C862" s="3" t="s">
        <v>56</v>
      </c>
      <c r="D862" s="3">
        <v>32</v>
      </c>
      <c r="E862" s="3" t="s">
        <v>139</v>
      </c>
      <c r="F862" s="3" t="s">
        <v>28</v>
      </c>
      <c r="G862" s="3" t="s">
        <v>21</v>
      </c>
      <c r="H862" s="3">
        <v>12</v>
      </c>
      <c r="I862" s="4">
        <v>40</v>
      </c>
      <c r="J862" s="3">
        <v>0</v>
      </c>
      <c r="K862" s="3" t="s">
        <v>78</v>
      </c>
      <c r="L862" s="3">
        <v>0.63</v>
      </c>
      <c r="M862" s="3" t="s">
        <v>79</v>
      </c>
      <c r="N862" s="3" t="s">
        <v>31</v>
      </c>
      <c r="O862" s="3">
        <v>15</v>
      </c>
      <c r="P862" s="3">
        <v>9</v>
      </c>
      <c r="Q862" s="3" t="str">
        <f t="shared" si="13"/>
        <v>Average</v>
      </c>
    </row>
    <row r="863" spans="1:17" x14ac:dyDescent="0.25">
      <c r="A863" s="3" t="s">
        <v>1812</v>
      </c>
      <c r="B863" s="3" t="s">
        <v>1813</v>
      </c>
      <c r="C863" s="3" t="s">
        <v>108</v>
      </c>
      <c r="D863" s="3">
        <v>60</v>
      </c>
      <c r="E863" s="3" t="s">
        <v>96</v>
      </c>
      <c r="F863" s="3" t="s">
        <v>97</v>
      </c>
      <c r="G863" s="3" t="s">
        <v>51</v>
      </c>
      <c r="I863" s="4">
        <v>20</v>
      </c>
      <c r="J863" s="3">
        <v>2.2000000000000002</v>
      </c>
      <c r="K863" s="3" t="b">
        <v>0</v>
      </c>
      <c r="L863" s="3">
        <v>0.6</v>
      </c>
      <c r="M863" s="3" t="s">
        <v>74</v>
      </c>
      <c r="N863" s="3" t="s">
        <v>31</v>
      </c>
      <c r="O863" s="3">
        <v>4</v>
      </c>
      <c r="P863" s="3">
        <v>1</v>
      </c>
      <c r="Q863" s="3" t="str">
        <f t="shared" si="13"/>
        <v>Average</v>
      </c>
    </row>
    <row r="864" spans="1:17" x14ac:dyDescent="0.25">
      <c r="A864" s="3" t="s">
        <v>1814</v>
      </c>
      <c r="B864" s="3" t="s">
        <v>1815</v>
      </c>
      <c r="C864" s="3" t="s">
        <v>103</v>
      </c>
      <c r="D864" s="3">
        <v>46</v>
      </c>
      <c r="E864" s="3" t="s">
        <v>150</v>
      </c>
      <c r="F864" s="3" t="s">
        <v>151</v>
      </c>
      <c r="G864" s="3" t="s">
        <v>125</v>
      </c>
      <c r="H864" s="3">
        <v>12</v>
      </c>
      <c r="I864" s="4">
        <v>50</v>
      </c>
      <c r="J864" s="3">
        <v>4.7</v>
      </c>
      <c r="K864" s="3" t="s">
        <v>78</v>
      </c>
      <c r="L864" s="3">
        <v>0.77</v>
      </c>
      <c r="M864" s="3" t="s">
        <v>53</v>
      </c>
      <c r="N864" s="3" t="s">
        <v>23</v>
      </c>
      <c r="O864" s="3">
        <v>9</v>
      </c>
      <c r="P864" s="3">
        <v>7</v>
      </c>
      <c r="Q864" s="3" t="str">
        <f t="shared" si="13"/>
        <v>GOOD</v>
      </c>
    </row>
    <row r="865" spans="1:17" x14ac:dyDescent="0.25">
      <c r="A865" s="3" t="s">
        <v>1816</v>
      </c>
      <c r="B865" s="3" t="s">
        <v>1817</v>
      </c>
      <c r="C865" s="3" t="s">
        <v>34</v>
      </c>
      <c r="D865" s="3">
        <v>29</v>
      </c>
      <c r="E865" s="3" t="s">
        <v>186</v>
      </c>
      <c r="F865" s="3" t="s">
        <v>187</v>
      </c>
      <c r="G865" s="3" t="s">
        <v>100</v>
      </c>
      <c r="H865" s="3">
        <v>0</v>
      </c>
      <c r="I865" s="4">
        <v>30</v>
      </c>
      <c r="J865" s="3">
        <v>0</v>
      </c>
      <c r="K865" s="3">
        <v>0</v>
      </c>
      <c r="L865" s="3">
        <v>0.63</v>
      </c>
      <c r="M865" s="3" t="s">
        <v>53</v>
      </c>
      <c r="N865" s="3" t="s">
        <v>31</v>
      </c>
      <c r="O865" s="3">
        <v>2</v>
      </c>
      <c r="P865" s="3">
        <v>1</v>
      </c>
      <c r="Q865" s="3" t="str">
        <f t="shared" si="13"/>
        <v>Average</v>
      </c>
    </row>
    <row r="866" spans="1:17" x14ac:dyDescent="0.25">
      <c r="A866" s="3" t="s">
        <v>1818</v>
      </c>
      <c r="B866" s="3" t="s">
        <v>1819</v>
      </c>
      <c r="C866" s="3" t="s">
        <v>26</v>
      </c>
      <c r="D866" s="3">
        <v>39</v>
      </c>
      <c r="E866" s="3" t="s">
        <v>118</v>
      </c>
      <c r="F866" s="3" t="s">
        <v>119</v>
      </c>
      <c r="G866" s="3" t="s">
        <v>29</v>
      </c>
      <c r="H866" s="3">
        <v>18</v>
      </c>
      <c r="I866" s="4">
        <v>20</v>
      </c>
      <c r="J866" s="3">
        <v>2.5</v>
      </c>
      <c r="K866" s="3" t="s">
        <v>78</v>
      </c>
      <c r="L866" s="3">
        <v>0.61</v>
      </c>
      <c r="M866" s="3" t="s">
        <v>74</v>
      </c>
      <c r="N866" s="3" t="s">
        <v>38</v>
      </c>
      <c r="O866" s="3">
        <v>16</v>
      </c>
      <c r="P866" s="3">
        <v>10</v>
      </c>
      <c r="Q866" s="3" t="str">
        <f t="shared" si="13"/>
        <v>Average</v>
      </c>
    </row>
    <row r="867" spans="1:17" customFormat="1" hidden="1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s="1" t="s">
        <v>73</v>
      </c>
      <c r="J867">
        <v>3.9</v>
      </c>
      <c r="K867" t="s">
        <v>78</v>
      </c>
      <c r="L867">
        <v>0.88</v>
      </c>
      <c r="M867" t="s">
        <v>74</v>
      </c>
      <c r="N867" t="s">
        <v>38</v>
      </c>
      <c r="O867">
        <v>1</v>
      </c>
      <c r="P867">
        <v>4</v>
      </c>
      <c r="Q867" t="str">
        <f t="shared" si="13"/>
        <v>GOOD</v>
      </c>
    </row>
    <row r="868" spans="1:17" customFormat="1" hidden="1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s="1" t="s">
        <v>30</v>
      </c>
      <c r="J868">
        <v>1.2</v>
      </c>
      <c r="K868">
        <v>1</v>
      </c>
      <c r="L868">
        <v>0.69</v>
      </c>
      <c r="M868" t="s">
        <v>53</v>
      </c>
      <c r="N868" t="s">
        <v>23</v>
      </c>
      <c r="O868">
        <v>5</v>
      </c>
      <c r="P868">
        <v>2</v>
      </c>
      <c r="Q868" t="str">
        <f t="shared" si="13"/>
        <v>Average</v>
      </c>
    </row>
    <row r="869" spans="1:17" x14ac:dyDescent="0.25">
      <c r="A869" s="3" t="s">
        <v>1824</v>
      </c>
      <c r="B869" s="3" t="s">
        <v>1825</v>
      </c>
      <c r="C869" s="3" t="s">
        <v>108</v>
      </c>
      <c r="D869" s="3">
        <v>40</v>
      </c>
      <c r="E869" s="3" t="s">
        <v>57</v>
      </c>
      <c r="F869" s="3" t="s">
        <v>58</v>
      </c>
      <c r="G869" s="3" t="s">
        <v>59</v>
      </c>
      <c r="H869" s="3">
        <v>2</v>
      </c>
      <c r="I869" s="4">
        <v>75</v>
      </c>
      <c r="J869" s="3">
        <v>4.5</v>
      </c>
      <c r="K869" s="3" t="s">
        <v>78</v>
      </c>
      <c r="M869" s="3" t="s">
        <v>79</v>
      </c>
      <c r="N869" s="3" t="s">
        <v>31</v>
      </c>
      <c r="O869" s="3">
        <v>2</v>
      </c>
      <c r="P869" s="3">
        <v>2</v>
      </c>
      <c r="Q869" s="3" t="str">
        <f t="shared" si="13"/>
        <v>GOOD</v>
      </c>
    </row>
    <row r="870" spans="1:17" customFormat="1" hidden="1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s="1" t="s">
        <v>43</v>
      </c>
      <c r="J870">
        <v>2.7</v>
      </c>
      <c r="K870" t="b">
        <v>1</v>
      </c>
      <c r="L870">
        <v>0.82</v>
      </c>
      <c r="M870" t="s">
        <v>22</v>
      </c>
      <c r="N870" t="s">
        <v>31</v>
      </c>
      <c r="O870">
        <v>15</v>
      </c>
      <c r="P870">
        <v>6</v>
      </c>
      <c r="Q870" t="str">
        <f t="shared" si="13"/>
        <v>Average</v>
      </c>
    </row>
    <row r="871" spans="1:17" x14ac:dyDescent="0.25">
      <c r="A871" s="3" t="s">
        <v>1828</v>
      </c>
      <c r="B871" s="3" t="s">
        <v>1829</v>
      </c>
      <c r="C871" s="3" t="s">
        <v>70</v>
      </c>
      <c r="D871" s="3">
        <v>57</v>
      </c>
      <c r="E871" s="3" t="s">
        <v>190</v>
      </c>
      <c r="F871" s="3" t="s">
        <v>83</v>
      </c>
      <c r="G871" s="3" t="s">
        <v>29</v>
      </c>
      <c r="H871" s="3">
        <v>21</v>
      </c>
      <c r="I871" s="4">
        <v>75</v>
      </c>
      <c r="J871" s="3">
        <v>2</v>
      </c>
      <c r="K871" s="3" t="s">
        <v>37</v>
      </c>
      <c r="L871" s="3">
        <v>0.96</v>
      </c>
      <c r="M871" s="3" t="s">
        <v>79</v>
      </c>
      <c r="N871" s="3" t="s">
        <v>38</v>
      </c>
      <c r="O871" s="3">
        <v>15</v>
      </c>
      <c r="P871" s="3">
        <v>12</v>
      </c>
      <c r="Q871" s="3" t="str">
        <f t="shared" si="13"/>
        <v>Average</v>
      </c>
    </row>
    <row r="872" spans="1:17" customFormat="1" hidden="1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s="1" t="s">
        <v>43</v>
      </c>
      <c r="J872">
        <v>1.7</v>
      </c>
      <c r="K872" t="s">
        <v>37</v>
      </c>
      <c r="L872">
        <v>0.71</v>
      </c>
      <c r="M872" t="s">
        <v>74</v>
      </c>
      <c r="N872" t="s">
        <v>31</v>
      </c>
      <c r="O872">
        <v>4</v>
      </c>
      <c r="P872">
        <v>4</v>
      </c>
      <c r="Q872" t="str">
        <f t="shared" si="13"/>
        <v>Average</v>
      </c>
    </row>
    <row r="873" spans="1:17" customFormat="1" hidden="1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1" t="s">
        <v>181</v>
      </c>
      <c r="J873">
        <v>3</v>
      </c>
      <c r="K873">
        <v>1</v>
      </c>
      <c r="L873">
        <v>0.77</v>
      </c>
      <c r="M873" t="s">
        <v>79</v>
      </c>
      <c r="N873" t="s">
        <v>31</v>
      </c>
      <c r="O873">
        <v>18</v>
      </c>
      <c r="P873">
        <v>10</v>
      </c>
      <c r="Q873" t="str">
        <f t="shared" si="13"/>
        <v>Average</v>
      </c>
    </row>
    <row r="874" spans="1:17" customFormat="1" hidden="1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s="1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  <c r="Q874" t="str">
        <f t="shared" si="13"/>
        <v>Average</v>
      </c>
    </row>
    <row r="875" spans="1:17" x14ac:dyDescent="0.25">
      <c r="A875" s="3" t="s">
        <v>1836</v>
      </c>
      <c r="B875" s="3" t="s">
        <v>1837</v>
      </c>
      <c r="C875" s="3" t="s">
        <v>88</v>
      </c>
      <c r="D875" s="3">
        <v>36</v>
      </c>
      <c r="E875" s="3" t="s">
        <v>123</v>
      </c>
      <c r="F875" s="3" t="s">
        <v>124</v>
      </c>
      <c r="G875" s="3" t="s">
        <v>84</v>
      </c>
      <c r="H875" s="3">
        <v>0</v>
      </c>
      <c r="I875" s="4">
        <v>75</v>
      </c>
      <c r="J875" s="3">
        <v>1.5</v>
      </c>
      <c r="L875" s="3">
        <v>0.73</v>
      </c>
      <c r="M875" s="3" t="s">
        <v>74</v>
      </c>
      <c r="N875" s="3" t="s">
        <v>67</v>
      </c>
      <c r="O875" s="3">
        <v>2</v>
      </c>
      <c r="P875" s="3">
        <v>1</v>
      </c>
      <c r="Q875" s="3" t="str">
        <f t="shared" si="13"/>
        <v>Average</v>
      </c>
    </row>
    <row r="876" spans="1:17" customFormat="1" hidden="1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s="1" t="s">
        <v>120</v>
      </c>
      <c r="J876">
        <v>1.7</v>
      </c>
      <c r="K876" t="b">
        <v>1</v>
      </c>
      <c r="L876">
        <v>0.6</v>
      </c>
      <c r="M876" t="s">
        <v>22</v>
      </c>
      <c r="N876" t="s">
        <v>23</v>
      </c>
      <c r="O876">
        <v>4</v>
      </c>
      <c r="P876">
        <v>2</v>
      </c>
      <c r="Q876" t="str">
        <f t="shared" si="13"/>
        <v>Average</v>
      </c>
    </row>
    <row r="877" spans="1:17" customFormat="1" hidden="1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I877" s="1"/>
      <c r="J877">
        <v>1.2</v>
      </c>
      <c r="K877">
        <v>1</v>
      </c>
      <c r="L877">
        <v>0.67</v>
      </c>
      <c r="M877" t="s">
        <v>53</v>
      </c>
      <c r="N877" t="s">
        <v>67</v>
      </c>
      <c r="O877">
        <v>3</v>
      </c>
      <c r="P877">
        <v>1</v>
      </c>
      <c r="Q877" t="str">
        <f t="shared" si="13"/>
        <v>Average</v>
      </c>
    </row>
    <row r="878" spans="1:17" x14ac:dyDescent="0.25">
      <c r="A878" s="3" t="s">
        <v>1842</v>
      </c>
      <c r="B878" s="3" t="s">
        <v>1843</v>
      </c>
      <c r="C878" s="3" t="s">
        <v>46</v>
      </c>
      <c r="D878" s="3">
        <v>30</v>
      </c>
      <c r="E878" s="3" t="s">
        <v>104</v>
      </c>
      <c r="F878" s="3" t="s">
        <v>105</v>
      </c>
      <c r="G878" s="3" t="s">
        <v>29</v>
      </c>
      <c r="H878" s="3">
        <v>6</v>
      </c>
      <c r="I878" s="4">
        <v>75</v>
      </c>
      <c r="J878" s="3">
        <v>0</v>
      </c>
      <c r="K878" s="3" t="b">
        <v>0</v>
      </c>
      <c r="L878" s="3">
        <v>0.8</v>
      </c>
      <c r="M878" s="3" t="s">
        <v>53</v>
      </c>
      <c r="N878" s="3" t="s">
        <v>23</v>
      </c>
      <c r="O878" s="3">
        <v>7</v>
      </c>
      <c r="P878" s="3">
        <v>8</v>
      </c>
      <c r="Q878" s="3" t="str">
        <f t="shared" si="13"/>
        <v>Average</v>
      </c>
    </row>
    <row r="879" spans="1:17" x14ac:dyDescent="0.25">
      <c r="A879" s="3" t="s">
        <v>1844</v>
      </c>
      <c r="B879" s="3" t="s">
        <v>1845</v>
      </c>
      <c r="C879" s="3" t="s">
        <v>108</v>
      </c>
      <c r="D879" s="3">
        <v>51</v>
      </c>
      <c r="E879" s="3" t="s">
        <v>27</v>
      </c>
      <c r="F879" s="3" t="s">
        <v>28</v>
      </c>
      <c r="G879" s="3" t="s">
        <v>36</v>
      </c>
      <c r="H879" s="3">
        <v>21</v>
      </c>
      <c r="I879" s="4">
        <v>20</v>
      </c>
      <c r="K879" s="3" t="s">
        <v>85</v>
      </c>
      <c r="M879" s="3" t="s">
        <v>22</v>
      </c>
      <c r="N879" s="3" t="s">
        <v>38</v>
      </c>
      <c r="O879" s="3">
        <v>14</v>
      </c>
      <c r="P879" s="3">
        <v>7</v>
      </c>
      <c r="Q879" s="3" t="str">
        <f t="shared" si="13"/>
        <v>Average</v>
      </c>
    </row>
    <row r="880" spans="1:17" x14ac:dyDescent="0.25">
      <c r="A880" s="3" t="s">
        <v>1846</v>
      </c>
      <c r="B880" s="3" t="s">
        <v>1847</v>
      </c>
      <c r="C880" s="3" t="s">
        <v>108</v>
      </c>
      <c r="D880" s="3">
        <v>46</v>
      </c>
      <c r="E880" s="3" t="s">
        <v>66</v>
      </c>
      <c r="F880" s="3" t="s">
        <v>28</v>
      </c>
      <c r="G880" s="3" t="s">
        <v>84</v>
      </c>
      <c r="H880" s="3">
        <v>24</v>
      </c>
      <c r="I880" s="4">
        <v>40</v>
      </c>
      <c r="J880" s="3">
        <v>3.3</v>
      </c>
      <c r="K880" s="3">
        <v>1</v>
      </c>
      <c r="L880" s="3">
        <v>0.87</v>
      </c>
      <c r="M880" s="3" t="s">
        <v>22</v>
      </c>
      <c r="N880" s="3" t="s">
        <v>31</v>
      </c>
      <c r="O880" s="3">
        <v>19</v>
      </c>
      <c r="P880" s="3">
        <v>8</v>
      </c>
      <c r="Q880" s="3" t="str">
        <f t="shared" si="13"/>
        <v>Average</v>
      </c>
    </row>
    <row r="881" spans="1:17" x14ac:dyDescent="0.25">
      <c r="A881" s="3" t="s">
        <v>1848</v>
      </c>
      <c r="B881" s="3" t="s">
        <v>1849</v>
      </c>
      <c r="C881" s="3" t="s">
        <v>26</v>
      </c>
      <c r="D881" s="3">
        <v>25</v>
      </c>
      <c r="E881" s="3" t="s">
        <v>123</v>
      </c>
      <c r="F881" s="3" t="s">
        <v>124</v>
      </c>
      <c r="G881" s="3" t="s">
        <v>51</v>
      </c>
      <c r="H881" s="3">
        <v>6</v>
      </c>
      <c r="I881" s="4">
        <v>20</v>
      </c>
      <c r="J881" s="3">
        <v>2.1</v>
      </c>
      <c r="K881" s="3" t="s">
        <v>170</v>
      </c>
      <c r="M881" s="3" t="s">
        <v>79</v>
      </c>
      <c r="N881" s="3" t="s">
        <v>23</v>
      </c>
      <c r="O881" s="3">
        <v>9</v>
      </c>
      <c r="P881" s="3">
        <v>8</v>
      </c>
      <c r="Q881" s="3" t="str">
        <f t="shared" si="13"/>
        <v>Average</v>
      </c>
    </row>
    <row r="882" spans="1:17" x14ac:dyDescent="0.25">
      <c r="A882" s="3" t="s">
        <v>1850</v>
      </c>
      <c r="B882" s="3" t="s">
        <v>1851</v>
      </c>
      <c r="C882" s="3" t="s">
        <v>34</v>
      </c>
      <c r="D882" s="3">
        <v>53</v>
      </c>
      <c r="E882" s="3" t="s">
        <v>49</v>
      </c>
      <c r="F882" s="3" t="s">
        <v>50</v>
      </c>
      <c r="G882" s="3" t="s">
        <v>42</v>
      </c>
      <c r="H882" s="3">
        <v>32</v>
      </c>
      <c r="I882" s="4">
        <v>50</v>
      </c>
      <c r="K882" s="3">
        <v>1</v>
      </c>
      <c r="M882" s="3" t="s">
        <v>74</v>
      </c>
      <c r="N882" s="3" t="s">
        <v>67</v>
      </c>
      <c r="O882" s="3">
        <v>14</v>
      </c>
      <c r="P882" s="3">
        <v>4</v>
      </c>
      <c r="Q882" s="3" t="str">
        <f t="shared" si="13"/>
        <v>Average</v>
      </c>
    </row>
    <row r="883" spans="1:17" customFormat="1" hidden="1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s="1" t="s">
        <v>30</v>
      </c>
      <c r="J883">
        <v>2.9</v>
      </c>
      <c r="K883" t="s">
        <v>85</v>
      </c>
      <c r="L883">
        <v>0.89</v>
      </c>
      <c r="M883" t="s">
        <v>22</v>
      </c>
      <c r="N883" t="s">
        <v>31</v>
      </c>
      <c r="O883">
        <v>17</v>
      </c>
      <c r="P883">
        <v>6</v>
      </c>
      <c r="Q883" t="str">
        <f t="shared" si="13"/>
        <v>Average</v>
      </c>
    </row>
    <row r="884" spans="1:17" customFormat="1" hidden="1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s="1" t="s">
        <v>325</v>
      </c>
      <c r="J884">
        <v>3.3</v>
      </c>
      <c r="K884" t="b">
        <v>1</v>
      </c>
      <c r="L884">
        <v>0.93</v>
      </c>
      <c r="M884" t="s">
        <v>22</v>
      </c>
      <c r="N884" t="s">
        <v>38</v>
      </c>
      <c r="O884">
        <v>4</v>
      </c>
      <c r="P884">
        <v>1</v>
      </c>
      <c r="Q884" t="str">
        <f t="shared" si="13"/>
        <v>Average</v>
      </c>
    </row>
    <row r="885" spans="1:17" x14ac:dyDescent="0.25">
      <c r="A885" s="3" t="s">
        <v>1856</v>
      </c>
      <c r="B885" s="3" t="s">
        <v>1857</v>
      </c>
      <c r="C885" s="3" t="s">
        <v>41</v>
      </c>
      <c r="D885" s="3">
        <v>48</v>
      </c>
      <c r="E885" s="3" t="s">
        <v>139</v>
      </c>
      <c r="F885" s="3" t="s">
        <v>28</v>
      </c>
      <c r="G885" s="3" t="s">
        <v>89</v>
      </c>
      <c r="H885" s="3">
        <v>24</v>
      </c>
      <c r="I885" s="4">
        <v>100</v>
      </c>
      <c r="J885" s="3">
        <v>4.8</v>
      </c>
      <c r="K885" s="3">
        <v>1</v>
      </c>
      <c r="L885" s="3">
        <v>0.84</v>
      </c>
      <c r="M885" s="3" t="s">
        <v>74</v>
      </c>
      <c r="N885" s="3" t="s">
        <v>23</v>
      </c>
      <c r="O885" s="3">
        <v>12</v>
      </c>
      <c r="P885" s="3">
        <v>13</v>
      </c>
      <c r="Q885" s="3" t="str">
        <f t="shared" si="13"/>
        <v>GOOD</v>
      </c>
    </row>
    <row r="886" spans="1:17" customFormat="1" hidden="1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s="1" t="s">
        <v>240</v>
      </c>
      <c r="J886">
        <v>4.5</v>
      </c>
      <c r="L886">
        <v>0.78</v>
      </c>
      <c r="M886" t="s">
        <v>22</v>
      </c>
      <c r="N886" t="s">
        <v>23</v>
      </c>
      <c r="O886">
        <v>5</v>
      </c>
      <c r="P886">
        <v>1</v>
      </c>
      <c r="Q886" t="str">
        <f t="shared" si="13"/>
        <v>GOOD</v>
      </c>
    </row>
    <row r="887" spans="1:17" customFormat="1" hidden="1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s="1" t="s">
        <v>73</v>
      </c>
      <c r="J887">
        <v>3.1</v>
      </c>
      <c r="K887" t="s">
        <v>170</v>
      </c>
      <c r="L887">
        <v>0.9</v>
      </c>
      <c r="M887" t="s">
        <v>22</v>
      </c>
      <c r="N887" t="s">
        <v>23</v>
      </c>
      <c r="O887">
        <v>8</v>
      </c>
      <c r="P887">
        <v>8</v>
      </c>
      <c r="Q887" t="str">
        <f t="shared" si="13"/>
        <v>Average</v>
      </c>
    </row>
    <row r="888" spans="1:17" customFormat="1" hidden="1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I888" s="1"/>
      <c r="J888">
        <v>4.9000000000000004</v>
      </c>
      <c r="K888">
        <v>1</v>
      </c>
      <c r="L888">
        <v>0.88</v>
      </c>
      <c r="M888" t="s">
        <v>79</v>
      </c>
      <c r="N888" t="s">
        <v>31</v>
      </c>
      <c r="O888">
        <v>6</v>
      </c>
      <c r="P888">
        <v>13</v>
      </c>
      <c r="Q888" t="str">
        <f t="shared" si="13"/>
        <v>GOOD</v>
      </c>
    </row>
    <row r="889" spans="1:17" customFormat="1" hidden="1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s="1" t="s">
        <v>132</v>
      </c>
      <c r="J889">
        <v>0</v>
      </c>
      <c r="K889">
        <v>0</v>
      </c>
      <c r="L889">
        <v>0.76</v>
      </c>
      <c r="M889" t="s">
        <v>53</v>
      </c>
      <c r="N889" t="s">
        <v>67</v>
      </c>
      <c r="O889">
        <v>3</v>
      </c>
      <c r="P889">
        <v>1</v>
      </c>
      <c r="Q889" t="str">
        <f t="shared" si="13"/>
        <v>Average</v>
      </c>
    </row>
    <row r="890" spans="1:17" x14ac:dyDescent="0.25">
      <c r="A890" s="3" t="s">
        <v>1865</v>
      </c>
      <c r="B890" s="3" t="s">
        <v>1866</v>
      </c>
      <c r="C890" s="3" t="s">
        <v>34</v>
      </c>
      <c r="D890" s="3">
        <v>38</v>
      </c>
      <c r="E890" s="3" t="s">
        <v>19</v>
      </c>
      <c r="F890" s="3" t="s">
        <v>20</v>
      </c>
      <c r="G890" s="3" t="s">
        <v>42</v>
      </c>
      <c r="H890" s="3">
        <v>14</v>
      </c>
      <c r="I890" s="4">
        <v>75</v>
      </c>
      <c r="J890" s="3">
        <v>1.5</v>
      </c>
      <c r="K890" s="3" t="s">
        <v>37</v>
      </c>
      <c r="L890" s="3">
        <v>0.62</v>
      </c>
      <c r="M890" s="3" t="s">
        <v>53</v>
      </c>
      <c r="N890" s="3" t="s">
        <v>67</v>
      </c>
      <c r="O890" s="3">
        <v>11</v>
      </c>
      <c r="P890" s="3">
        <v>12</v>
      </c>
      <c r="Q890" s="3" t="str">
        <f t="shared" si="13"/>
        <v>Average</v>
      </c>
    </row>
    <row r="891" spans="1:17" customFormat="1" hidden="1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s="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  <c r="Q891" t="str">
        <f t="shared" si="13"/>
        <v>Average</v>
      </c>
    </row>
    <row r="892" spans="1:17" customFormat="1" hidden="1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s="1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  <c r="Q892" t="str">
        <f t="shared" si="13"/>
        <v>GOOD</v>
      </c>
    </row>
    <row r="893" spans="1:17" customFormat="1" hidden="1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s="1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  <c r="Q893" t="str">
        <f t="shared" si="13"/>
        <v>Average</v>
      </c>
    </row>
    <row r="894" spans="1:17" x14ac:dyDescent="0.25">
      <c r="A894" s="3" t="s">
        <v>1873</v>
      </c>
      <c r="B894" s="3" t="s">
        <v>1874</v>
      </c>
      <c r="C894" s="3" t="s">
        <v>18</v>
      </c>
      <c r="D894" s="3">
        <v>42</v>
      </c>
      <c r="E894" s="3" t="s">
        <v>35</v>
      </c>
      <c r="F894" s="3" t="s">
        <v>35</v>
      </c>
      <c r="G894" s="3" t="s">
        <v>36</v>
      </c>
      <c r="H894" s="3">
        <v>13</v>
      </c>
      <c r="I894" s="4">
        <v>30</v>
      </c>
      <c r="J894" s="3">
        <v>3.3</v>
      </c>
      <c r="L894" s="3">
        <v>0.63</v>
      </c>
      <c r="M894" s="3" t="s">
        <v>74</v>
      </c>
      <c r="N894" s="3" t="s">
        <v>67</v>
      </c>
      <c r="O894" s="3">
        <v>10</v>
      </c>
      <c r="P894" s="3">
        <v>12</v>
      </c>
      <c r="Q894" s="3" t="str">
        <f t="shared" si="13"/>
        <v>Average</v>
      </c>
    </row>
    <row r="895" spans="1:17" x14ac:dyDescent="0.25">
      <c r="A895" s="3" t="s">
        <v>1875</v>
      </c>
      <c r="B895" s="3" t="s">
        <v>1876</v>
      </c>
      <c r="C895" s="3" t="s">
        <v>108</v>
      </c>
      <c r="D895" s="3">
        <v>26</v>
      </c>
      <c r="E895" s="3" t="s">
        <v>104</v>
      </c>
      <c r="F895" s="3" t="s">
        <v>105</v>
      </c>
      <c r="G895" s="3" t="s">
        <v>21</v>
      </c>
      <c r="H895" s="3">
        <v>7</v>
      </c>
      <c r="I895" s="4">
        <v>75</v>
      </c>
      <c r="J895" s="3">
        <v>3</v>
      </c>
      <c r="L895" s="3">
        <v>0.84</v>
      </c>
      <c r="M895" s="3" t="s">
        <v>74</v>
      </c>
      <c r="N895" s="3" t="s">
        <v>38</v>
      </c>
      <c r="O895" s="3">
        <v>11</v>
      </c>
      <c r="P895" s="3">
        <v>5</v>
      </c>
      <c r="Q895" s="3" t="str">
        <f t="shared" si="13"/>
        <v>Average</v>
      </c>
    </row>
    <row r="896" spans="1:17" x14ac:dyDescent="0.25">
      <c r="A896" s="3" t="s">
        <v>1877</v>
      </c>
      <c r="B896" s="3" t="s">
        <v>1878</v>
      </c>
      <c r="C896" s="3" t="s">
        <v>18</v>
      </c>
      <c r="D896" s="3">
        <v>44</v>
      </c>
      <c r="E896" s="3" t="s">
        <v>139</v>
      </c>
      <c r="F896" s="3" t="s">
        <v>28</v>
      </c>
      <c r="G896" s="3" t="s">
        <v>89</v>
      </c>
      <c r="H896" s="3">
        <v>25</v>
      </c>
      <c r="I896" s="4">
        <v>75</v>
      </c>
      <c r="J896" s="3">
        <v>2.7</v>
      </c>
      <c r="K896" s="3">
        <v>1</v>
      </c>
      <c r="L896" s="3">
        <v>78</v>
      </c>
      <c r="M896" s="3" t="s">
        <v>79</v>
      </c>
      <c r="N896" s="3" t="s">
        <v>67</v>
      </c>
      <c r="O896" s="3">
        <v>15</v>
      </c>
      <c r="P896" s="3">
        <v>8</v>
      </c>
      <c r="Q896" s="3" t="str">
        <f t="shared" si="13"/>
        <v>Average</v>
      </c>
    </row>
    <row r="897" spans="1:17" customFormat="1" hidden="1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s="1" t="s">
        <v>132</v>
      </c>
      <c r="J897">
        <v>1.2</v>
      </c>
      <c r="K897" t="b">
        <v>0</v>
      </c>
      <c r="L897">
        <v>0.74</v>
      </c>
      <c r="M897" t="s">
        <v>79</v>
      </c>
      <c r="N897" t="s">
        <v>23</v>
      </c>
      <c r="O897">
        <v>12</v>
      </c>
      <c r="P897">
        <v>15</v>
      </c>
      <c r="Q897" t="str">
        <f t="shared" si="13"/>
        <v>Average</v>
      </c>
    </row>
    <row r="898" spans="1:17" x14ac:dyDescent="0.25">
      <c r="A898" s="3" t="s">
        <v>1881</v>
      </c>
      <c r="B898" s="3" t="s">
        <v>1882</v>
      </c>
      <c r="C898" s="3" t="s">
        <v>46</v>
      </c>
      <c r="D898" s="3">
        <v>36</v>
      </c>
      <c r="E898" s="3" t="s">
        <v>66</v>
      </c>
      <c r="F898" s="3" t="s">
        <v>28</v>
      </c>
      <c r="G898" s="3" t="s">
        <v>84</v>
      </c>
      <c r="H898" s="3">
        <v>8</v>
      </c>
      <c r="I898" s="4">
        <v>50</v>
      </c>
      <c r="J898" s="3">
        <v>4.3</v>
      </c>
      <c r="K898" s="3">
        <v>0</v>
      </c>
      <c r="L898" s="3">
        <v>0.9</v>
      </c>
      <c r="M898" s="3" t="s">
        <v>22</v>
      </c>
      <c r="N898" s="3" t="s">
        <v>67</v>
      </c>
      <c r="O898" s="3">
        <v>15</v>
      </c>
      <c r="P898" s="3">
        <v>1</v>
      </c>
      <c r="Q898" s="3" t="str">
        <f t="shared" ref="Q898:Q961" si="14">IF(J898&lt;3.5,"Average","GOOD")</f>
        <v>GOOD</v>
      </c>
    </row>
    <row r="899" spans="1:17" customFormat="1" hidden="1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s="1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  <c r="Q899" t="str">
        <f t="shared" si="14"/>
        <v>Average</v>
      </c>
    </row>
    <row r="900" spans="1:17" x14ac:dyDescent="0.25">
      <c r="A900" s="3" t="s">
        <v>1885</v>
      </c>
      <c r="B900" s="3" t="s">
        <v>1886</v>
      </c>
      <c r="C900" s="3" t="s">
        <v>34</v>
      </c>
      <c r="D900" s="3">
        <v>21</v>
      </c>
      <c r="E900" s="3" t="s">
        <v>35</v>
      </c>
      <c r="F900" s="3" t="s">
        <v>35</v>
      </c>
      <c r="G900" s="3" t="s">
        <v>84</v>
      </c>
      <c r="H900" s="3">
        <v>3</v>
      </c>
      <c r="I900" s="4">
        <v>50</v>
      </c>
      <c r="J900" s="3">
        <v>4.5999999999999996</v>
      </c>
      <c r="K900" s="3" t="s">
        <v>85</v>
      </c>
      <c r="M900" s="3" t="s">
        <v>74</v>
      </c>
      <c r="N900" s="3" t="s">
        <v>23</v>
      </c>
      <c r="O900" s="3">
        <v>5</v>
      </c>
      <c r="P900" s="3">
        <v>3</v>
      </c>
      <c r="Q900" s="3" t="str">
        <f t="shared" si="14"/>
        <v>GOOD</v>
      </c>
    </row>
    <row r="901" spans="1:17" x14ac:dyDescent="0.25">
      <c r="A901" s="3" t="s">
        <v>1887</v>
      </c>
      <c r="B901" s="3" t="s">
        <v>1888</v>
      </c>
      <c r="C901" s="3" t="s">
        <v>18</v>
      </c>
      <c r="D901" s="3">
        <v>39</v>
      </c>
      <c r="E901" s="3" t="s">
        <v>57</v>
      </c>
      <c r="F901" s="3" t="s">
        <v>58</v>
      </c>
      <c r="G901" s="3" t="s">
        <v>84</v>
      </c>
      <c r="H901" s="3">
        <v>18</v>
      </c>
      <c r="I901" s="4">
        <v>50</v>
      </c>
      <c r="J901" s="3">
        <v>2.1</v>
      </c>
      <c r="K901" s="3">
        <v>0</v>
      </c>
      <c r="L901" s="3">
        <v>75</v>
      </c>
      <c r="M901" s="3" t="s">
        <v>53</v>
      </c>
      <c r="N901" s="3" t="s">
        <v>38</v>
      </c>
      <c r="O901" s="3">
        <v>10</v>
      </c>
      <c r="P901" s="3">
        <v>7</v>
      </c>
      <c r="Q901" s="3" t="str">
        <f t="shared" si="14"/>
        <v>Average</v>
      </c>
    </row>
    <row r="902" spans="1:17" x14ac:dyDescent="0.25">
      <c r="A902" s="3" t="s">
        <v>1889</v>
      </c>
      <c r="B902" s="3" t="s">
        <v>1890</v>
      </c>
      <c r="C902" s="3" t="s">
        <v>88</v>
      </c>
      <c r="D902" s="3">
        <v>37</v>
      </c>
      <c r="E902" s="3" t="s">
        <v>66</v>
      </c>
      <c r="F902" s="3" t="s">
        <v>28</v>
      </c>
      <c r="G902" s="3" t="s">
        <v>21</v>
      </c>
      <c r="H902" s="3">
        <v>18</v>
      </c>
      <c r="I902" s="4">
        <v>40</v>
      </c>
      <c r="J902" s="3">
        <v>4.5</v>
      </c>
      <c r="K902" s="3" t="s">
        <v>170</v>
      </c>
      <c r="L902" s="3">
        <v>0.72</v>
      </c>
      <c r="M902" s="3" t="s">
        <v>22</v>
      </c>
      <c r="N902" s="3" t="s">
        <v>67</v>
      </c>
      <c r="O902" s="3">
        <v>14</v>
      </c>
      <c r="P902" s="3">
        <v>8</v>
      </c>
      <c r="Q902" s="3" t="str">
        <f t="shared" si="14"/>
        <v>GOOD</v>
      </c>
    </row>
    <row r="903" spans="1:17" x14ac:dyDescent="0.25">
      <c r="A903" s="3" t="s">
        <v>1891</v>
      </c>
      <c r="B903" s="3" t="s">
        <v>1892</v>
      </c>
      <c r="C903" s="3" t="s">
        <v>88</v>
      </c>
      <c r="D903" s="3">
        <v>47</v>
      </c>
      <c r="E903" s="3" t="s">
        <v>135</v>
      </c>
      <c r="F903" s="3" t="s">
        <v>136</v>
      </c>
      <c r="G903" s="3" t="s">
        <v>84</v>
      </c>
      <c r="H903" s="3">
        <v>3</v>
      </c>
      <c r="I903" s="4">
        <v>40</v>
      </c>
      <c r="J903" s="3">
        <v>4.4000000000000004</v>
      </c>
      <c r="K903" s="3" t="s">
        <v>78</v>
      </c>
      <c r="L903" s="3">
        <v>0.92</v>
      </c>
      <c r="M903" s="3" t="s">
        <v>22</v>
      </c>
      <c r="N903" s="3" t="s">
        <v>67</v>
      </c>
      <c r="O903" s="3">
        <v>5</v>
      </c>
      <c r="P903" s="3">
        <v>2</v>
      </c>
      <c r="Q903" s="3" t="str">
        <f t="shared" si="14"/>
        <v>GOOD</v>
      </c>
    </row>
    <row r="904" spans="1:17" customFormat="1" hidden="1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s="1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  <c r="Q904" t="str">
        <f t="shared" si="14"/>
        <v>Average</v>
      </c>
    </row>
    <row r="905" spans="1:17" customFormat="1" hidden="1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s="1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  <c r="Q905" t="str">
        <f t="shared" si="14"/>
        <v>Average</v>
      </c>
    </row>
    <row r="906" spans="1:17" x14ac:dyDescent="0.25">
      <c r="A906" s="3" t="s">
        <v>1897</v>
      </c>
      <c r="B906" s="3" t="s">
        <v>1898</v>
      </c>
      <c r="C906" s="3" t="s">
        <v>34</v>
      </c>
      <c r="D906" s="3">
        <v>21</v>
      </c>
      <c r="E906" s="3" t="s">
        <v>104</v>
      </c>
      <c r="F906" s="3" t="s">
        <v>105</v>
      </c>
      <c r="G906" s="3" t="s">
        <v>59</v>
      </c>
      <c r="H906" s="3">
        <v>2</v>
      </c>
      <c r="I906" s="4">
        <v>50</v>
      </c>
      <c r="J906" s="3">
        <v>2.6</v>
      </c>
      <c r="K906" s="3" t="b">
        <v>0</v>
      </c>
      <c r="L906" s="3">
        <v>0.86</v>
      </c>
      <c r="M906" s="3" t="s">
        <v>22</v>
      </c>
      <c r="N906" s="3" t="s">
        <v>67</v>
      </c>
      <c r="O906" s="3">
        <v>5</v>
      </c>
      <c r="P906" s="3">
        <v>1</v>
      </c>
      <c r="Q906" s="3" t="str">
        <f t="shared" si="14"/>
        <v>Average</v>
      </c>
    </row>
    <row r="907" spans="1:17" customFormat="1" hidden="1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I907" s="1"/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  <c r="Q907" t="str">
        <f t="shared" si="14"/>
        <v>Average</v>
      </c>
    </row>
    <row r="908" spans="1:17" customFormat="1" hidden="1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s="1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  <c r="Q908" t="str">
        <f t="shared" si="14"/>
        <v>Average</v>
      </c>
    </row>
    <row r="909" spans="1:17" customFormat="1" hidden="1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s="1" t="s">
        <v>120</v>
      </c>
      <c r="J909">
        <v>3.1</v>
      </c>
      <c r="K909" t="s">
        <v>85</v>
      </c>
      <c r="L909">
        <v>0.91</v>
      </c>
      <c r="M909" t="s">
        <v>22</v>
      </c>
      <c r="N909" t="s">
        <v>31</v>
      </c>
      <c r="O909">
        <v>4</v>
      </c>
      <c r="P909">
        <v>1</v>
      </c>
      <c r="Q909" t="str">
        <f t="shared" si="14"/>
        <v>Average</v>
      </c>
    </row>
    <row r="910" spans="1:17" customFormat="1" hidden="1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s="1" t="s">
        <v>181</v>
      </c>
      <c r="J910">
        <v>2.2999999999999998</v>
      </c>
      <c r="K910" t="s">
        <v>85</v>
      </c>
      <c r="L910">
        <v>0.8</v>
      </c>
      <c r="M910" t="s">
        <v>79</v>
      </c>
      <c r="N910" t="s">
        <v>23</v>
      </c>
      <c r="O910">
        <v>12</v>
      </c>
      <c r="P910">
        <v>9</v>
      </c>
      <c r="Q910" t="str">
        <f t="shared" si="14"/>
        <v>Average</v>
      </c>
    </row>
    <row r="911" spans="1:17" x14ac:dyDescent="0.25">
      <c r="A911" s="3" t="s">
        <v>1907</v>
      </c>
      <c r="B911" s="3" t="s">
        <v>1908</v>
      </c>
      <c r="C911" s="3" t="s">
        <v>70</v>
      </c>
      <c r="D911" s="3">
        <v>59</v>
      </c>
      <c r="E911" s="3" t="s">
        <v>146</v>
      </c>
      <c r="F911" s="3" t="s">
        <v>147</v>
      </c>
      <c r="G911" s="3" t="s">
        <v>89</v>
      </c>
      <c r="H911" s="3">
        <v>17</v>
      </c>
      <c r="I911" s="4">
        <v>100</v>
      </c>
      <c r="J911" s="3">
        <v>4</v>
      </c>
      <c r="K911" s="3" t="s">
        <v>170</v>
      </c>
      <c r="L911" s="3">
        <v>0.72</v>
      </c>
      <c r="M911" s="3" t="s">
        <v>74</v>
      </c>
      <c r="N911" s="3" t="s">
        <v>38</v>
      </c>
      <c r="O911" s="3">
        <v>13</v>
      </c>
      <c r="P911" s="3">
        <v>9</v>
      </c>
      <c r="Q911" s="3" t="str">
        <f t="shared" si="14"/>
        <v>GOOD</v>
      </c>
    </row>
    <row r="912" spans="1:17" customFormat="1" hidden="1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s="1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  <c r="Q912" t="str">
        <f t="shared" si="14"/>
        <v>Average</v>
      </c>
    </row>
    <row r="913" spans="1:17" x14ac:dyDescent="0.25">
      <c r="A913" s="3" t="s">
        <v>1911</v>
      </c>
      <c r="B913" s="3" t="s">
        <v>1912</v>
      </c>
      <c r="C913" s="3" t="s">
        <v>46</v>
      </c>
      <c r="D913" s="3">
        <v>53</v>
      </c>
      <c r="E913" s="3" t="s">
        <v>164</v>
      </c>
      <c r="F913" s="3" t="s">
        <v>165</v>
      </c>
      <c r="G913" s="3" t="s">
        <v>125</v>
      </c>
      <c r="H913" s="3">
        <v>26</v>
      </c>
      <c r="I913" s="4">
        <v>75</v>
      </c>
      <c r="J913" s="3">
        <v>2.4</v>
      </c>
      <c r="K913" s="3" t="s">
        <v>78</v>
      </c>
      <c r="M913" s="3" t="s">
        <v>79</v>
      </c>
      <c r="N913" s="3" t="s">
        <v>38</v>
      </c>
      <c r="O913" s="3">
        <v>14</v>
      </c>
      <c r="P913" s="3">
        <v>12</v>
      </c>
      <c r="Q913" s="3" t="str">
        <f t="shared" si="14"/>
        <v>Average</v>
      </c>
    </row>
    <row r="914" spans="1:17" customFormat="1" hidden="1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s="1" t="s">
        <v>52</v>
      </c>
      <c r="K914" t="s">
        <v>78</v>
      </c>
      <c r="L914">
        <v>0.74</v>
      </c>
      <c r="M914" t="s">
        <v>79</v>
      </c>
      <c r="N914" t="s">
        <v>38</v>
      </c>
      <c r="O914">
        <v>4</v>
      </c>
      <c r="P914">
        <v>1</v>
      </c>
      <c r="Q914" t="str">
        <f t="shared" si="14"/>
        <v>Average</v>
      </c>
    </row>
    <row r="915" spans="1:17" customFormat="1" hidden="1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s="1" t="s">
        <v>109</v>
      </c>
      <c r="J915">
        <v>3.7</v>
      </c>
      <c r="K915" t="s">
        <v>85</v>
      </c>
      <c r="L915">
        <v>0.82</v>
      </c>
      <c r="M915" t="s">
        <v>74</v>
      </c>
      <c r="N915" t="s">
        <v>67</v>
      </c>
      <c r="O915">
        <v>15</v>
      </c>
      <c r="P915">
        <v>6</v>
      </c>
      <c r="Q915" t="str">
        <f t="shared" si="14"/>
        <v>GOOD</v>
      </c>
    </row>
    <row r="916" spans="1:17" customFormat="1" hidden="1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s="1" t="s">
        <v>30</v>
      </c>
      <c r="J916">
        <v>1.1000000000000001</v>
      </c>
      <c r="K916" t="s">
        <v>170</v>
      </c>
      <c r="L916">
        <v>0.85</v>
      </c>
      <c r="M916" t="s">
        <v>53</v>
      </c>
      <c r="N916" t="s">
        <v>67</v>
      </c>
      <c r="O916">
        <v>12</v>
      </c>
      <c r="P916">
        <v>14</v>
      </c>
      <c r="Q916" t="str">
        <f t="shared" si="14"/>
        <v>Average</v>
      </c>
    </row>
    <row r="917" spans="1:17" customFormat="1" hidden="1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s="1" t="s">
        <v>60</v>
      </c>
      <c r="J917">
        <v>2.2999999999999998</v>
      </c>
      <c r="K917" t="b">
        <v>1</v>
      </c>
      <c r="L917">
        <v>0.68</v>
      </c>
      <c r="M917" t="s">
        <v>79</v>
      </c>
      <c r="N917" t="s">
        <v>38</v>
      </c>
      <c r="O917">
        <v>8</v>
      </c>
      <c r="P917">
        <v>7</v>
      </c>
      <c r="Q917" t="str">
        <f t="shared" si="14"/>
        <v>Average</v>
      </c>
    </row>
    <row r="918" spans="1:17" x14ac:dyDescent="0.25">
      <c r="A918" s="3" t="s">
        <v>1920</v>
      </c>
      <c r="B918" s="3" t="s">
        <v>1921</v>
      </c>
      <c r="C918" s="3" t="s">
        <v>18</v>
      </c>
      <c r="D918" s="3">
        <v>45</v>
      </c>
      <c r="E918" s="3" t="s">
        <v>139</v>
      </c>
      <c r="F918" s="3" t="s">
        <v>28</v>
      </c>
      <c r="G918" s="3" t="s">
        <v>42</v>
      </c>
      <c r="H918" s="3">
        <v>22</v>
      </c>
      <c r="I918" s="4">
        <v>40</v>
      </c>
      <c r="J918" s="3">
        <v>3.7</v>
      </c>
      <c r="K918" s="3" t="s">
        <v>85</v>
      </c>
      <c r="L918" s="3">
        <v>0.99</v>
      </c>
      <c r="M918" s="3" t="s">
        <v>22</v>
      </c>
      <c r="N918" s="3" t="s">
        <v>38</v>
      </c>
      <c r="O918" s="3">
        <v>20</v>
      </c>
      <c r="P918" s="3">
        <v>16</v>
      </c>
      <c r="Q918" s="3" t="str">
        <f t="shared" si="14"/>
        <v>GOOD</v>
      </c>
    </row>
    <row r="919" spans="1:17" x14ac:dyDescent="0.25">
      <c r="A919" s="3" t="s">
        <v>1922</v>
      </c>
      <c r="B919" s="3" t="s">
        <v>1923</v>
      </c>
      <c r="C919" s="3" t="s">
        <v>46</v>
      </c>
      <c r="D919" s="3">
        <v>36</v>
      </c>
      <c r="E919" s="3" t="s">
        <v>19</v>
      </c>
      <c r="F919" s="3" t="s">
        <v>20</v>
      </c>
      <c r="G919" s="3" t="s">
        <v>36</v>
      </c>
      <c r="H919" s="3">
        <v>14</v>
      </c>
      <c r="I919" s="4">
        <v>30</v>
      </c>
      <c r="J919" s="3">
        <v>1.9</v>
      </c>
      <c r="K919" s="3">
        <v>0</v>
      </c>
      <c r="L919" s="3">
        <v>0.62</v>
      </c>
      <c r="M919" s="3" t="s">
        <v>22</v>
      </c>
      <c r="N919" s="3" t="s">
        <v>38</v>
      </c>
      <c r="O919" s="3">
        <v>14</v>
      </c>
      <c r="P919" s="3">
        <v>5</v>
      </c>
      <c r="Q919" s="3" t="str">
        <f t="shared" si="14"/>
        <v>Average</v>
      </c>
    </row>
    <row r="920" spans="1:17" x14ac:dyDescent="0.25">
      <c r="A920" s="3" t="s">
        <v>1924</v>
      </c>
      <c r="B920" s="3" t="s">
        <v>1925</v>
      </c>
      <c r="C920" s="3" t="s">
        <v>34</v>
      </c>
      <c r="D920" s="3">
        <v>46</v>
      </c>
      <c r="E920" s="3" t="s">
        <v>164</v>
      </c>
      <c r="F920" s="3" t="s">
        <v>165</v>
      </c>
      <c r="G920" s="3" t="s">
        <v>84</v>
      </c>
      <c r="H920" s="3">
        <v>6</v>
      </c>
      <c r="I920" s="4">
        <v>30</v>
      </c>
      <c r="J920" s="3">
        <v>1.5</v>
      </c>
      <c r="K920" s="3" t="s">
        <v>37</v>
      </c>
      <c r="M920" s="3" t="s">
        <v>22</v>
      </c>
      <c r="N920" s="3" t="s">
        <v>67</v>
      </c>
      <c r="O920" s="3">
        <v>12</v>
      </c>
      <c r="P920" s="3">
        <v>5</v>
      </c>
      <c r="Q920" s="3" t="str">
        <f t="shared" si="14"/>
        <v>Average</v>
      </c>
    </row>
    <row r="921" spans="1:17" x14ac:dyDescent="0.25">
      <c r="A921" s="3" t="s">
        <v>1926</v>
      </c>
      <c r="B921" s="3" t="s">
        <v>1927</v>
      </c>
      <c r="C921" s="3" t="s">
        <v>46</v>
      </c>
      <c r="D921" s="3">
        <v>53</v>
      </c>
      <c r="E921" s="3" t="s">
        <v>71</v>
      </c>
      <c r="F921" s="3" t="s">
        <v>72</v>
      </c>
      <c r="G921" s="3" t="s">
        <v>36</v>
      </c>
      <c r="H921" s="3">
        <v>14</v>
      </c>
      <c r="I921" s="4">
        <v>30</v>
      </c>
      <c r="J921" s="3">
        <v>0</v>
      </c>
      <c r="K921" s="3" t="b">
        <v>0</v>
      </c>
      <c r="L921" s="3">
        <v>0.83</v>
      </c>
      <c r="M921" s="3" t="s">
        <v>53</v>
      </c>
      <c r="N921" s="3" t="s">
        <v>38</v>
      </c>
      <c r="O921" s="3">
        <v>15</v>
      </c>
      <c r="P921" s="3">
        <v>5</v>
      </c>
      <c r="Q921" s="3" t="str">
        <f t="shared" si="14"/>
        <v>Average</v>
      </c>
    </row>
    <row r="922" spans="1:17" x14ac:dyDescent="0.25">
      <c r="A922" s="3" t="s">
        <v>1928</v>
      </c>
      <c r="B922" s="3" t="s">
        <v>1929</v>
      </c>
      <c r="C922" s="3" t="s">
        <v>18</v>
      </c>
      <c r="D922" s="3">
        <v>24</v>
      </c>
      <c r="E922" s="3" t="s">
        <v>66</v>
      </c>
      <c r="F922" s="3" t="s">
        <v>28</v>
      </c>
      <c r="G922" s="3" t="s">
        <v>42</v>
      </c>
      <c r="H922" s="3">
        <v>2</v>
      </c>
      <c r="I922" s="4">
        <v>30</v>
      </c>
      <c r="J922" s="3">
        <v>3.6</v>
      </c>
      <c r="L922" s="3">
        <v>0.92</v>
      </c>
      <c r="M922" s="3" t="s">
        <v>79</v>
      </c>
      <c r="N922" s="3" t="s">
        <v>38</v>
      </c>
      <c r="O922" s="3">
        <v>3</v>
      </c>
      <c r="P922" s="3">
        <v>1</v>
      </c>
      <c r="Q922" s="3" t="str">
        <f t="shared" si="14"/>
        <v>GOOD</v>
      </c>
    </row>
    <row r="923" spans="1:17" customFormat="1" hidden="1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s="1" t="s">
        <v>181</v>
      </c>
      <c r="J923">
        <v>2.1</v>
      </c>
      <c r="L923">
        <v>0.85</v>
      </c>
      <c r="M923" t="s">
        <v>22</v>
      </c>
      <c r="N923" t="s">
        <v>31</v>
      </c>
      <c r="O923">
        <v>5</v>
      </c>
      <c r="P923">
        <v>2</v>
      </c>
      <c r="Q923" t="str">
        <f t="shared" si="14"/>
        <v>Average</v>
      </c>
    </row>
    <row r="924" spans="1:17" x14ac:dyDescent="0.25">
      <c r="A924" s="3" t="s">
        <v>1932</v>
      </c>
      <c r="B924" s="3" t="s">
        <v>1933</v>
      </c>
      <c r="C924" s="3" t="s">
        <v>41</v>
      </c>
      <c r="D924" s="3">
        <v>49</v>
      </c>
      <c r="E924" s="3" t="s">
        <v>123</v>
      </c>
      <c r="F924" s="3" t="s">
        <v>124</v>
      </c>
      <c r="G924" s="3" t="s">
        <v>51</v>
      </c>
      <c r="H924" s="3">
        <v>4</v>
      </c>
      <c r="I924" s="4">
        <v>75</v>
      </c>
      <c r="J924" s="3">
        <v>2.9</v>
      </c>
      <c r="K924" s="3" t="s">
        <v>37</v>
      </c>
      <c r="M924" s="3" t="s">
        <v>53</v>
      </c>
      <c r="N924" s="3" t="s">
        <v>31</v>
      </c>
      <c r="O924" s="3">
        <v>1</v>
      </c>
      <c r="P924" s="3">
        <v>1</v>
      </c>
      <c r="Q924" s="3" t="str">
        <f t="shared" si="14"/>
        <v>Average</v>
      </c>
    </row>
    <row r="925" spans="1:17" x14ac:dyDescent="0.25">
      <c r="A925" s="3" t="s">
        <v>1934</v>
      </c>
      <c r="B925" s="3" t="s">
        <v>1935</v>
      </c>
      <c r="C925" s="3" t="s">
        <v>26</v>
      </c>
      <c r="D925" s="3">
        <v>49</v>
      </c>
      <c r="E925" s="3" t="s">
        <v>123</v>
      </c>
      <c r="F925" s="3" t="s">
        <v>124</v>
      </c>
      <c r="G925" s="3" t="s">
        <v>29</v>
      </c>
      <c r="H925" s="3">
        <v>24</v>
      </c>
      <c r="I925" s="4">
        <v>100</v>
      </c>
      <c r="J925" s="3">
        <v>3.6</v>
      </c>
      <c r="K925" s="3" t="b">
        <v>1</v>
      </c>
      <c r="M925" s="3" t="s">
        <v>22</v>
      </c>
      <c r="N925" s="3" t="s">
        <v>38</v>
      </c>
      <c r="O925" s="3">
        <v>11</v>
      </c>
      <c r="P925" s="3">
        <v>1</v>
      </c>
      <c r="Q925" s="3" t="str">
        <f t="shared" si="14"/>
        <v>GOOD</v>
      </c>
    </row>
    <row r="926" spans="1:17" x14ac:dyDescent="0.25">
      <c r="A926" s="3" t="s">
        <v>1936</v>
      </c>
      <c r="B926" s="3" t="s">
        <v>1937</v>
      </c>
      <c r="C926" s="3" t="s">
        <v>88</v>
      </c>
      <c r="D926" s="3">
        <v>58</v>
      </c>
      <c r="E926" s="3" t="s">
        <v>118</v>
      </c>
      <c r="F926" s="3" t="s">
        <v>119</v>
      </c>
      <c r="G926" s="3" t="s">
        <v>21</v>
      </c>
      <c r="H926" s="3">
        <v>29</v>
      </c>
      <c r="I926" s="4">
        <v>30</v>
      </c>
      <c r="J926" s="3">
        <v>3.3</v>
      </c>
      <c r="K926" s="3" t="s">
        <v>78</v>
      </c>
      <c r="L926" s="3">
        <v>0.89</v>
      </c>
      <c r="M926" s="3" t="s">
        <v>74</v>
      </c>
      <c r="N926" s="3" t="s">
        <v>23</v>
      </c>
      <c r="O926" s="3">
        <v>12</v>
      </c>
      <c r="P926" s="3">
        <v>10</v>
      </c>
      <c r="Q926" s="3" t="str">
        <f t="shared" si="14"/>
        <v>Average</v>
      </c>
    </row>
    <row r="927" spans="1:17" customFormat="1" hidden="1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I927" s="1"/>
      <c r="J927">
        <v>2.5</v>
      </c>
      <c r="K927" t="s">
        <v>85</v>
      </c>
      <c r="L927">
        <v>0.81</v>
      </c>
      <c r="M927" t="s">
        <v>79</v>
      </c>
      <c r="N927" t="s">
        <v>38</v>
      </c>
      <c r="O927">
        <v>6</v>
      </c>
      <c r="P927">
        <v>3</v>
      </c>
      <c r="Q927" t="str">
        <f t="shared" si="14"/>
        <v>Average</v>
      </c>
    </row>
    <row r="928" spans="1:17" customFormat="1" hidden="1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s="1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  <c r="Q928" t="str">
        <f t="shared" si="14"/>
        <v>GOOD</v>
      </c>
    </row>
    <row r="929" spans="1:17" customFormat="1" hidden="1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s="1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  <c r="Q929" t="str">
        <f t="shared" si="14"/>
        <v>GOOD</v>
      </c>
    </row>
    <row r="930" spans="1:17" customFormat="1" hidden="1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s="1" t="s">
        <v>43</v>
      </c>
      <c r="J930">
        <v>0</v>
      </c>
      <c r="K930">
        <v>1</v>
      </c>
      <c r="L930">
        <v>0.92</v>
      </c>
      <c r="M930" t="s">
        <v>53</v>
      </c>
      <c r="N930" t="s">
        <v>23</v>
      </c>
      <c r="O930">
        <v>9</v>
      </c>
      <c r="P930">
        <v>9</v>
      </c>
      <c r="Q930" t="str">
        <f t="shared" si="14"/>
        <v>Average</v>
      </c>
    </row>
    <row r="931" spans="1:17" x14ac:dyDescent="0.25">
      <c r="A931" s="3" t="s">
        <v>1946</v>
      </c>
      <c r="B931" s="3" t="s">
        <v>1947</v>
      </c>
      <c r="C931" s="3" t="s">
        <v>88</v>
      </c>
      <c r="D931" s="3">
        <v>22</v>
      </c>
      <c r="E931" s="3" t="s">
        <v>146</v>
      </c>
      <c r="F931" s="3" t="s">
        <v>147</v>
      </c>
      <c r="G931" s="3" t="s">
        <v>125</v>
      </c>
      <c r="H931" s="3">
        <v>2</v>
      </c>
      <c r="I931" s="4">
        <v>30</v>
      </c>
      <c r="J931" s="3">
        <v>2</v>
      </c>
      <c r="K931" s="3" t="s">
        <v>170</v>
      </c>
      <c r="L931" s="3">
        <v>0.96</v>
      </c>
      <c r="M931" s="3" t="s">
        <v>79</v>
      </c>
      <c r="N931" s="3" t="s">
        <v>38</v>
      </c>
      <c r="O931" s="3">
        <v>2</v>
      </c>
      <c r="P931" s="3">
        <v>3</v>
      </c>
      <c r="Q931" s="3" t="str">
        <f t="shared" si="14"/>
        <v>Average</v>
      </c>
    </row>
    <row r="932" spans="1:17" x14ac:dyDescent="0.25">
      <c r="A932" s="3" t="s">
        <v>1948</v>
      </c>
      <c r="B932" s="3" t="s">
        <v>1949</v>
      </c>
      <c r="C932" s="3" t="s">
        <v>88</v>
      </c>
      <c r="D932" s="3">
        <v>38</v>
      </c>
      <c r="E932" s="3" t="s">
        <v>71</v>
      </c>
      <c r="F932" s="3" t="s">
        <v>72</v>
      </c>
      <c r="G932" s="3" t="s">
        <v>42</v>
      </c>
      <c r="H932" s="3">
        <v>14</v>
      </c>
      <c r="I932" s="4">
        <v>100</v>
      </c>
      <c r="J932" s="3">
        <v>1.7</v>
      </c>
      <c r="K932" s="3" t="b">
        <v>0</v>
      </c>
      <c r="L932" s="3">
        <v>0.66</v>
      </c>
      <c r="M932" s="3" t="s">
        <v>22</v>
      </c>
      <c r="N932" s="3" t="s">
        <v>31</v>
      </c>
      <c r="O932" s="3">
        <v>7</v>
      </c>
      <c r="P932" s="3">
        <v>1</v>
      </c>
      <c r="Q932" s="3" t="str">
        <f t="shared" si="14"/>
        <v>Average</v>
      </c>
    </row>
    <row r="933" spans="1:17" customFormat="1" hidden="1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s="1" t="s">
        <v>30</v>
      </c>
      <c r="J933">
        <v>3</v>
      </c>
      <c r="K933" t="s">
        <v>37</v>
      </c>
      <c r="L933">
        <v>0.64</v>
      </c>
      <c r="M933" t="s">
        <v>22</v>
      </c>
      <c r="N933" t="s">
        <v>31</v>
      </c>
      <c r="O933">
        <v>1</v>
      </c>
      <c r="P933">
        <v>3</v>
      </c>
      <c r="Q933" t="str">
        <f t="shared" si="14"/>
        <v>Average</v>
      </c>
    </row>
    <row r="934" spans="1:17" x14ac:dyDescent="0.25">
      <c r="A934" s="3" t="s">
        <v>1952</v>
      </c>
      <c r="B934" s="3" t="s">
        <v>1953</v>
      </c>
      <c r="C934" s="3" t="s">
        <v>70</v>
      </c>
      <c r="D934" s="3">
        <v>41</v>
      </c>
      <c r="E934" s="3" t="s">
        <v>27</v>
      </c>
      <c r="F934" s="3" t="s">
        <v>28</v>
      </c>
      <c r="G934" s="3" t="s">
        <v>51</v>
      </c>
      <c r="H934" s="3">
        <v>15</v>
      </c>
      <c r="I934" s="4">
        <v>40</v>
      </c>
      <c r="J934" s="3">
        <v>3.4</v>
      </c>
      <c r="K934" s="3" t="b">
        <v>0</v>
      </c>
      <c r="L934" s="3">
        <v>1</v>
      </c>
      <c r="M934" s="3" t="s">
        <v>74</v>
      </c>
      <c r="N934" s="3" t="s">
        <v>23</v>
      </c>
      <c r="O934" s="3">
        <v>8</v>
      </c>
      <c r="P934" s="3">
        <v>6</v>
      </c>
      <c r="Q934" s="3" t="str">
        <f t="shared" si="14"/>
        <v>Average</v>
      </c>
    </row>
    <row r="935" spans="1:17" x14ac:dyDescent="0.25">
      <c r="A935" s="3" t="s">
        <v>1954</v>
      </c>
      <c r="B935" s="3" t="s">
        <v>1955</v>
      </c>
      <c r="C935" s="3" t="s">
        <v>46</v>
      </c>
      <c r="D935" s="3">
        <v>33</v>
      </c>
      <c r="E935" s="3" t="s">
        <v>57</v>
      </c>
      <c r="F935" s="3" t="s">
        <v>58</v>
      </c>
      <c r="G935" s="3" t="s">
        <v>21</v>
      </c>
      <c r="H935" s="3">
        <v>6</v>
      </c>
      <c r="I935" s="4">
        <v>40</v>
      </c>
      <c r="J935" s="3">
        <v>3.2</v>
      </c>
      <c r="K935" s="3">
        <v>1</v>
      </c>
      <c r="L935" s="3">
        <v>0.95</v>
      </c>
      <c r="M935" s="3" t="s">
        <v>22</v>
      </c>
      <c r="N935" s="3" t="s">
        <v>38</v>
      </c>
      <c r="O935" s="3">
        <v>15</v>
      </c>
      <c r="P935" s="3">
        <v>6</v>
      </c>
      <c r="Q935" s="3" t="str">
        <f t="shared" si="14"/>
        <v>Average</v>
      </c>
    </row>
    <row r="936" spans="1:17" customFormat="1" hidden="1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I936" s="1"/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  <c r="Q936" t="str">
        <f t="shared" si="14"/>
        <v>Average</v>
      </c>
    </row>
    <row r="937" spans="1:17" customFormat="1" hidden="1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s="1" t="s">
        <v>325</v>
      </c>
      <c r="J937">
        <v>4.0999999999999996</v>
      </c>
      <c r="K937" t="s">
        <v>78</v>
      </c>
      <c r="L937">
        <v>0.82</v>
      </c>
      <c r="M937" t="s">
        <v>53</v>
      </c>
      <c r="N937" t="s">
        <v>67</v>
      </c>
      <c r="O937">
        <v>12</v>
      </c>
      <c r="P937">
        <v>1</v>
      </c>
      <c r="Q937" t="str">
        <f t="shared" si="14"/>
        <v>GOOD</v>
      </c>
    </row>
    <row r="938" spans="1:17" x14ac:dyDescent="0.25">
      <c r="A938" s="3" t="s">
        <v>1960</v>
      </c>
      <c r="B938" s="3" t="s">
        <v>1961</v>
      </c>
      <c r="C938" s="3" t="s">
        <v>18</v>
      </c>
      <c r="D938" s="3">
        <v>43</v>
      </c>
      <c r="E938" s="3" t="s">
        <v>49</v>
      </c>
      <c r="F938" s="3" t="s">
        <v>50</v>
      </c>
      <c r="G938" s="3" t="s">
        <v>51</v>
      </c>
      <c r="H938" s="3">
        <v>3</v>
      </c>
      <c r="I938" s="4">
        <v>20</v>
      </c>
      <c r="J938" s="3">
        <v>0</v>
      </c>
      <c r="K938" s="3" t="s">
        <v>85</v>
      </c>
      <c r="L938" s="3">
        <v>0.95</v>
      </c>
      <c r="M938" s="3" t="s">
        <v>22</v>
      </c>
      <c r="N938" s="3" t="s">
        <v>31</v>
      </c>
      <c r="O938" s="3">
        <v>3</v>
      </c>
      <c r="P938" s="3">
        <v>1</v>
      </c>
      <c r="Q938" s="3" t="str">
        <f t="shared" si="14"/>
        <v>Average</v>
      </c>
    </row>
    <row r="939" spans="1:17" customFormat="1" hidden="1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I939" s="1"/>
      <c r="J939">
        <v>0</v>
      </c>
      <c r="K939">
        <v>1</v>
      </c>
      <c r="L939">
        <v>0.95</v>
      </c>
      <c r="M939" t="s">
        <v>53</v>
      </c>
      <c r="N939" t="s">
        <v>67</v>
      </c>
      <c r="O939">
        <v>5</v>
      </c>
      <c r="P939">
        <v>3</v>
      </c>
      <c r="Q939" t="str">
        <f t="shared" si="14"/>
        <v>Average</v>
      </c>
    </row>
    <row r="940" spans="1:17" customFormat="1" hidden="1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s="1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  <c r="Q940" t="str">
        <f t="shared" si="14"/>
        <v>Average</v>
      </c>
    </row>
    <row r="941" spans="1:17" x14ac:dyDescent="0.25">
      <c r="A941" s="3" t="s">
        <v>1966</v>
      </c>
      <c r="B941" s="3" t="s">
        <v>1967</v>
      </c>
      <c r="C941" s="3" t="s">
        <v>70</v>
      </c>
      <c r="D941" s="3">
        <v>35</v>
      </c>
      <c r="E941" s="3" t="s">
        <v>201</v>
      </c>
      <c r="F941" s="3" t="s">
        <v>83</v>
      </c>
      <c r="G941" s="3" t="s">
        <v>36</v>
      </c>
      <c r="H941" s="3">
        <v>6</v>
      </c>
      <c r="I941" s="4">
        <v>40</v>
      </c>
      <c r="K941" s="3" t="s">
        <v>78</v>
      </c>
      <c r="L941" s="3">
        <v>0.91</v>
      </c>
      <c r="M941" s="3" t="s">
        <v>79</v>
      </c>
      <c r="N941" s="3" t="s">
        <v>31</v>
      </c>
      <c r="O941" s="3">
        <v>10</v>
      </c>
      <c r="P941" s="3">
        <v>10</v>
      </c>
      <c r="Q941" s="3" t="str">
        <f t="shared" si="14"/>
        <v>Average</v>
      </c>
    </row>
    <row r="942" spans="1:17" customFormat="1" hidden="1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s="1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  <c r="Q942" t="str">
        <f t="shared" si="14"/>
        <v>Average</v>
      </c>
    </row>
    <row r="943" spans="1:17" x14ac:dyDescent="0.25">
      <c r="A943" s="3" t="s">
        <v>1970</v>
      </c>
      <c r="B943" s="3" t="s">
        <v>1971</v>
      </c>
      <c r="C943" s="3" t="s">
        <v>26</v>
      </c>
      <c r="D943" s="3">
        <v>38</v>
      </c>
      <c r="E943" s="3" t="s">
        <v>118</v>
      </c>
      <c r="F943" s="3" t="s">
        <v>119</v>
      </c>
      <c r="G943" s="3" t="s">
        <v>51</v>
      </c>
      <c r="H943" s="3">
        <v>15</v>
      </c>
      <c r="I943" s="4">
        <v>40</v>
      </c>
      <c r="J943" s="3">
        <v>4</v>
      </c>
      <c r="L943" s="3">
        <v>0.62</v>
      </c>
      <c r="M943" s="3" t="s">
        <v>79</v>
      </c>
      <c r="N943" s="3" t="s">
        <v>67</v>
      </c>
      <c r="O943" s="3">
        <v>7</v>
      </c>
      <c r="P943" s="3">
        <v>7</v>
      </c>
      <c r="Q943" s="3" t="str">
        <f t="shared" si="14"/>
        <v>GOOD</v>
      </c>
    </row>
    <row r="944" spans="1:17" x14ac:dyDescent="0.25">
      <c r="A944" s="3" t="s">
        <v>1972</v>
      </c>
      <c r="B944" s="3" t="s">
        <v>1973</v>
      </c>
      <c r="C944" s="3" t="s">
        <v>70</v>
      </c>
      <c r="D944" s="3">
        <v>40</v>
      </c>
      <c r="E944" s="3" t="s">
        <v>139</v>
      </c>
      <c r="F944" s="3" t="s">
        <v>28</v>
      </c>
      <c r="G944" s="3" t="s">
        <v>59</v>
      </c>
      <c r="H944" s="3">
        <v>20</v>
      </c>
      <c r="I944" s="4">
        <v>20</v>
      </c>
      <c r="J944" s="3">
        <v>2.5</v>
      </c>
      <c r="K944" s="3">
        <v>0</v>
      </c>
      <c r="L944" s="3">
        <v>0.81</v>
      </c>
      <c r="M944" s="3" t="s">
        <v>79</v>
      </c>
      <c r="N944" s="3" t="s">
        <v>31</v>
      </c>
      <c r="O944" s="3">
        <v>10</v>
      </c>
      <c r="P944" s="3">
        <v>9</v>
      </c>
      <c r="Q944" s="3" t="str">
        <f t="shared" si="14"/>
        <v>Average</v>
      </c>
    </row>
    <row r="945" spans="1:17" x14ac:dyDescent="0.25">
      <c r="A945" s="3" t="s">
        <v>1974</v>
      </c>
      <c r="B945" s="3" t="s">
        <v>1975</v>
      </c>
      <c r="C945" s="3" t="s">
        <v>18</v>
      </c>
      <c r="D945" s="3">
        <v>46</v>
      </c>
      <c r="E945" s="3" t="s">
        <v>118</v>
      </c>
      <c r="F945" s="3" t="s">
        <v>119</v>
      </c>
      <c r="G945" s="3" t="s">
        <v>59</v>
      </c>
      <c r="H945" s="3">
        <v>16</v>
      </c>
      <c r="I945" s="4">
        <v>75</v>
      </c>
      <c r="J945" s="3">
        <v>0</v>
      </c>
      <c r="K945" s="3" t="s">
        <v>170</v>
      </c>
      <c r="L945" s="3">
        <v>0.94</v>
      </c>
      <c r="M945" s="3" t="s">
        <v>74</v>
      </c>
      <c r="N945" s="3" t="s">
        <v>23</v>
      </c>
      <c r="O945" s="3">
        <v>13</v>
      </c>
      <c r="P945" s="3">
        <v>6</v>
      </c>
      <c r="Q945" s="3" t="str">
        <f t="shared" si="14"/>
        <v>Average</v>
      </c>
    </row>
    <row r="946" spans="1:17" customFormat="1" hidden="1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s="1" t="s">
        <v>120</v>
      </c>
      <c r="K946" t="s">
        <v>170</v>
      </c>
      <c r="L946">
        <v>0.95</v>
      </c>
      <c r="M946" t="s">
        <v>74</v>
      </c>
      <c r="N946" t="s">
        <v>38</v>
      </c>
      <c r="O946">
        <v>13</v>
      </c>
      <c r="P946">
        <v>2</v>
      </c>
      <c r="Q946" t="str">
        <f t="shared" si="14"/>
        <v>Average</v>
      </c>
    </row>
    <row r="947" spans="1:17" customFormat="1" hidden="1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I947" s="1"/>
      <c r="J947">
        <v>1.6</v>
      </c>
      <c r="K947" t="s">
        <v>170</v>
      </c>
      <c r="L947">
        <v>1</v>
      </c>
      <c r="M947" t="s">
        <v>79</v>
      </c>
      <c r="N947" t="s">
        <v>38</v>
      </c>
      <c r="O947">
        <v>2</v>
      </c>
      <c r="P947">
        <v>1</v>
      </c>
      <c r="Q947" t="str">
        <f t="shared" si="14"/>
        <v>Average</v>
      </c>
    </row>
    <row r="948" spans="1:17" x14ac:dyDescent="0.25">
      <c r="A948" s="3" t="s">
        <v>1980</v>
      </c>
      <c r="B948" s="3" t="s">
        <v>1981</v>
      </c>
      <c r="C948" s="3" t="s">
        <v>103</v>
      </c>
      <c r="E948" s="3" t="s">
        <v>190</v>
      </c>
      <c r="F948" s="3" t="s">
        <v>83</v>
      </c>
      <c r="G948" s="3" t="s">
        <v>51</v>
      </c>
      <c r="H948" s="3">
        <v>1</v>
      </c>
      <c r="I948" s="4">
        <v>75</v>
      </c>
      <c r="J948" s="3">
        <v>0</v>
      </c>
      <c r="K948" s="3" t="b">
        <v>1</v>
      </c>
      <c r="L948" s="3">
        <v>0.94</v>
      </c>
      <c r="M948" s="3" t="s">
        <v>22</v>
      </c>
      <c r="N948" s="3" t="s">
        <v>31</v>
      </c>
      <c r="O948" s="3">
        <v>5</v>
      </c>
      <c r="P948" s="3">
        <v>3</v>
      </c>
      <c r="Q948" s="3" t="str">
        <f t="shared" si="14"/>
        <v>Average</v>
      </c>
    </row>
    <row r="949" spans="1:17" x14ac:dyDescent="0.25">
      <c r="A949" s="3" t="s">
        <v>1982</v>
      </c>
      <c r="B949" s="3" t="s">
        <v>1983</v>
      </c>
      <c r="C949" s="3" t="s">
        <v>41</v>
      </c>
      <c r="D949" s="3">
        <v>38</v>
      </c>
      <c r="E949" s="3" t="s">
        <v>71</v>
      </c>
      <c r="F949" s="3" t="s">
        <v>72</v>
      </c>
      <c r="G949" s="3" t="s">
        <v>29</v>
      </c>
      <c r="H949" s="3">
        <v>8</v>
      </c>
      <c r="I949" s="4">
        <v>30</v>
      </c>
      <c r="J949" s="3">
        <v>4</v>
      </c>
      <c r="K949" s="3">
        <v>1</v>
      </c>
      <c r="L949" s="3">
        <v>0.92</v>
      </c>
      <c r="M949" s="3" t="s">
        <v>74</v>
      </c>
      <c r="N949" s="3" t="s">
        <v>38</v>
      </c>
      <c r="O949" s="3">
        <v>8</v>
      </c>
      <c r="P949" s="3">
        <v>10</v>
      </c>
      <c r="Q949" s="3" t="str">
        <f t="shared" si="14"/>
        <v>GOOD</v>
      </c>
    </row>
    <row r="950" spans="1:17" customFormat="1" hidden="1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s="1" t="s">
        <v>109</v>
      </c>
      <c r="J950">
        <v>2.5</v>
      </c>
      <c r="K950" t="b">
        <v>1</v>
      </c>
      <c r="L950">
        <v>0.95</v>
      </c>
      <c r="M950" t="s">
        <v>53</v>
      </c>
      <c r="N950" t="s">
        <v>67</v>
      </c>
      <c r="O950">
        <v>9</v>
      </c>
      <c r="P950">
        <v>6</v>
      </c>
      <c r="Q950" t="str">
        <f t="shared" si="14"/>
        <v>Average</v>
      </c>
    </row>
    <row r="951" spans="1:17" customFormat="1" hidden="1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s="1" t="s">
        <v>132</v>
      </c>
      <c r="J951">
        <v>3.8</v>
      </c>
      <c r="L951">
        <v>0.97</v>
      </c>
      <c r="M951" t="s">
        <v>53</v>
      </c>
      <c r="N951" t="s">
        <v>67</v>
      </c>
      <c r="O951">
        <v>8</v>
      </c>
      <c r="P951">
        <v>2</v>
      </c>
      <c r="Q951" t="str">
        <f t="shared" si="14"/>
        <v>GOOD</v>
      </c>
    </row>
    <row r="952" spans="1:17" x14ac:dyDescent="0.25">
      <c r="A952" s="3" t="s">
        <v>1988</v>
      </c>
      <c r="B952" s="3" t="s">
        <v>1989</v>
      </c>
      <c r="C952" s="3" t="s">
        <v>108</v>
      </c>
      <c r="D952" s="3">
        <v>41</v>
      </c>
      <c r="E952" s="3" t="s">
        <v>77</v>
      </c>
      <c r="F952" s="3" t="s">
        <v>28</v>
      </c>
      <c r="G952" s="3" t="s">
        <v>100</v>
      </c>
      <c r="H952" s="3">
        <v>8</v>
      </c>
      <c r="I952" s="4">
        <v>50</v>
      </c>
      <c r="J952" s="3">
        <v>4.8</v>
      </c>
      <c r="K952" s="3" t="s">
        <v>37</v>
      </c>
      <c r="L952" s="3">
        <v>0.75</v>
      </c>
      <c r="M952" s="3" t="s">
        <v>53</v>
      </c>
      <c r="N952" s="3" t="s">
        <v>38</v>
      </c>
      <c r="O952" s="3">
        <v>14</v>
      </c>
      <c r="P952" s="3">
        <v>6</v>
      </c>
      <c r="Q952" s="3" t="str">
        <f t="shared" si="14"/>
        <v>GOOD</v>
      </c>
    </row>
    <row r="953" spans="1:17" x14ac:dyDescent="0.25">
      <c r="A953" s="3" t="s">
        <v>1990</v>
      </c>
      <c r="B953" s="3" t="s">
        <v>1991</v>
      </c>
      <c r="C953" s="3" t="s">
        <v>18</v>
      </c>
      <c r="D953" s="3">
        <v>45</v>
      </c>
      <c r="E953" s="3" t="s">
        <v>190</v>
      </c>
      <c r="F953" s="3" t="s">
        <v>83</v>
      </c>
      <c r="G953" s="3" t="s">
        <v>59</v>
      </c>
      <c r="H953" s="3">
        <v>6</v>
      </c>
      <c r="I953" s="4">
        <v>40</v>
      </c>
      <c r="J953" s="3">
        <v>2</v>
      </c>
      <c r="K953" s="3">
        <v>1</v>
      </c>
      <c r="L953" s="3">
        <v>0.78</v>
      </c>
      <c r="M953" s="3" t="s">
        <v>22</v>
      </c>
      <c r="N953" s="3" t="s">
        <v>67</v>
      </c>
      <c r="O953" s="3">
        <v>13</v>
      </c>
      <c r="P953" s="3">
        <v>14</v>
      </c>
      <c r="Q953" s="3" t="str">
        <f t="shared" si="14"/>
        <v>Average</v>
      </c>
    </row>
    <row r="954" spans="1:17" customFormat="1" hidden="1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s="1" t="s">
        <v>240</v>
      </c>
      <c r="J954">
        <v>3.3</v>
      </c>
      <c r="K954">
        <v>0</v>
      </c>
      <c r="L954">
        <v>0.65</v>
      </c>
      <c r="M954" t="s">
        <v>79</v>
      </c>
      <c r="N954" t="s">
        <v>38</v>
      </c>
      <c r="O954">
        <v>10</v>
      </c>
      <c r="P954">
        <v>17</v>
      </c>
      <c r="Q954" t="str">
        <f t="shared" si="14"/>
        <v>Average</v>
      </c>
    </row>
    <row r="955" spans="1:17" x14ac:dyDescent="0.25">
      <c r="A955" s="3" t="s">
        <v>1994</v>
      </c>
      <c r="B955" s="3" t="s">
        <v>1995</v>
      </c>
      <c r="C955" s="3" t="s">
        <v>41</v>
      </c>
      <c r="D955" s="3">
        <v>59</v>
      </c>
      <c r="E955" s="3" t="s">
        <v>77</v>
      </c>
      <c r="F955" s="3" t="s">
        <v>28</v>
      </c>
      <c r="G955" s="3" t="s">
        <v>59</v>
      </c>
      <c r="H955" s="3">
        <v>40</v>
      </c>
      <c r="I955" s="4">
        <v>40</v>
      </c>
      <c r="J955" s="3">
        <v>2.5</v>
      </c>
      <c r="K955" s="3" t="b">
        <v>1</v>
      </c>
      <c r="L955" s="3">
        <v>70</v>
      </c>
      <c r="M955" s="3" t="s">
        <v>53</v>
      </c>
      <c r="N955" s="3" t="s">
        <v>38</v>
      </c>
      <c r="O955" s="3">
        <v>19</v>
      </c>
      <c r="P955" s="3">
        <v>12</v>
      </c>
      <c r="Q955" s="3" t="str">
        <f t="shared" si="14"/>
        <v>Average</v>
      </c>
    </row>
    <row r="956" spans="1:17" customFormat="1" hidden="1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s="1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  <c r="Q956" t="str">
        <f t="shared" si="14"/>
        <v>Average</v>
      </c>
    </row>
    <row r="957" spans="1:17" customFormat="1" hidden="1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s="1" t="s">
        <v>109</v>
      </c>
      <c r="K957">
        <v>1</v>
      </c>
      <c r="L957">
        <v>0.96</v>
      </c>
      <c r="M957" t="s">
        <v>74</v>
      </c>
      <c r="N957" t="s">
        <v>31</v>
      </c>
      <c r="O957">
        <v>1</v>
      </c>
      <c r="P957">
        <v>3</v>
      </c>
      <c r="Q957" t="str">
        <f t="shared" si="14"/>
        <v>Average</v>
      </c>
    </row>
    <row r="958" spans="1:17" customFormat="1" hidden="1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s="1" t="s">
        <v>30</v>
      </c>
      <c r="J958">
        <v>0</v>
      </c>
      <c r="K958">
        <v>1</v>
      </c>
      <c r="L958">
        <v>0.8</v>
      </c>
      <c r="M958" t="s">
        <v>79</v>
      </c>
      <c r="N958" t="s">
        <v>38</v>
      </c>
      <c r="O958">
        <v>4</v>
      </c>
      <c r="P958">
        <v>2</v>
      </c>
      <c r="Q958" t="str">
        <f t="shared" si="14"/>
        <v>Average</v>
      </c>
    </row>
    <row r="959" spans="1:17" customFormat="1" hidden="1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s="1" t="s">
        <v>132</v>
      </c>
      <c r="J959">
        <v>1.6</v>
      </c>
      <c r="K959" t="s">
        <v>78</v>
      </c>
      <c r="L959">
        <v>0.64</v>
      </c>
      <c r="M959" t="s">
        <v>74</v>
      </c>
      <c r="N959" t="s">
        <v>31</v>
      </c>
      <c r="O959">
        <v>12</v>
      </c>
      <c r="P959">
        <v>2</v>
      </c>
      <c r="Q959" t="str">
        <f t="shared" si="14"/>
        <v>Average</v>
      </c>
    </row>
    <row r="960" spans="1:17" x14ac:dyDescent="0.25">
      <c r="A960" s="3" t="s">
        <v>2004</v>
      </c>
      <c r="B960" s="3" t="s">
        <v>2005</v>
      </c>
      <c r="C960" s="3" t="s">
        <v>103</v>
      </c>
      <c r="D960" s="3">
        <v>55</v>
      </c>
      <c r="E960" s="3" t="s">
        <v>146</v>
      </c>
      <c r="F960" s="3" t="s">
        <v>147</v>
      </c>
      <c r="G960" s="3" t="s">
        <v>84</v>
      </c>
      <c r="H960" s="3">
        <v>33</v>
      </c>
      <c r="I960" s="4">
        <v>50</v>
      </c>
      <c r="J960" s="3">
        <v>0</v>
      </c>
      <c r="K960" s="3" t="b">
        <v>0</v>
      </c>
      <c r="L960" s="3">
        <v>0.92</v>
      </c>
      <c r="M960" s="3" t="s">
        <v>22</v>
      </c>
      <c r="N960" s="3" t="s">
        <v>38</v>
      </c>
      <c r="O960" s="3">
        <v>19</v>
      </c>
      <c r="P960" s="3">
        <v>5</v>
      </c>
      <c r="Q960" s="3" t="str">
        <f t="shared" si="14"/>
        <v>Average</v>
      </c>
    </row>
    <row r="961" spans="1:17" x14ac:dyDescent="0.25">
      <c r="A961" s="3" t="s">
        <v>2006</v>
      </c>
      <c r="B961" s="3" t="s">
        <v>2007</v>
      </c>
      <c r="C961" s="3" t="s">
        <v>34</v>
      </c>
      <c r="D961" s="3">
        <v>21</v>
      </c>
      <c r="E961" s="3" t="s">
        <v>150</v>
      </c>
      <c r="F961" s="3" t="s">
        <v>151</v>
      </c>
      <c r="G961" s="3" t="s">
        <v>21</v>
      </c>
      <c r="H961" s="3">
        <v>1</v>
      </c>
      <c r="I961" s="4">
        <v>100</v>
      </c>
      <c r="J961" s="3">
        <v>0</v>
      </c>
      <c r="K961" s="3">
        <v>1</v>
      </c>
      <c r="M961" s="3" t="s">
        <v>53</v>
      </c>
      <c r="N961" s="3" t="s">
        <v>38</v>
      </c>
      <c r="O961" s="3">
        <v>3</v>
      </c>
      <c r="P961" s="3">
        <v>2</v>
      </c>
      <c r="Q961" s="3" t="str">
        <f t="shared" si="14"/>
        <v>Average</v>
      </c>
    </row>
    <row r="962" spans="1:17" customFormat="1" hidden="1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s="1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  <c r="Q962" t="str">
        <f t="shared" ref="Q962:Q1001" si="15">IF(J962&lt;3.5,"Average","GOOD")</f>
        <v>GOOD</v>
      </c>
    </row>
    <row r="963" spans="1:17" customFormat="1" hidden="1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s="1" t="s">
        <v>240</v>
      </c>
      <c r="J963">
        <v>0</v>
      </c>
      <c r="K963" t="s">
        <v>78</v>
      </c>
      <c r="L963">
        <v>0.95</v>
      </c>
      <c r="M963" t="s">
        <v>22</v>
      </c>
      <c r="N963" t="s">
        <v>67</v>
      </c>
      <c r="O963">
        <v>5</v>
      </c>
      <c r="P963">
        <v>5</v>
      </c>
      <c r="Q963" t="str">
        <f t="shared" si="15"/>
        <v>Average</v>
      </c>
    </row>
    <row r="964" spans="1:17" x14ac:dyDescent="0.25">
      <c r="A964" s="3" t="s">
        <v>2012</v>
      </c>
      <c r="B964" s="3" t="s">
        <v>2013</v>
      </c>
      <c r="C964" s="3" t="s">
        <v>26</v>
      </c>
      <c r="D964" s="3">
        <v>36</v>
      </c>
      <c r="E964" s="3" t="s">
        <v>118</v>
      </c>
      <c r="F964" s="3" t="s">
        <v>119</v>
      </c>
      <c r="G964" s="3" t="s">
        <v>42</v>
      </c>
      <c r="I964" s="4">
        <v>20</v>
      </c>
      <c r="J964" s="3">
        <v>4.0999999999999996</v>
      </c>
      <c r="K964" s="3" t="s">
        <v>37</v>
      </c>
      <c r="L964" s="3">
        <v>0.86</v>
      </c>
      <c r="M964" s="3" t="s">
        <v>53</v>
      </c>
      <c r="N964" s="3" t="s">
        <v>31</v>
      </c>
      <c r="O964" s="3">
        <v>4</v>
      </c>
      <c r="P964" s="3">
        <v>1</v>
      </c>
      <c r="Q964" s="3" t="str">
        <f t="shared" si="15"/>
        <v>GOOD</v>
      </c>
    </row>
    <row r="965" spans="1:17" customFormat="1" hidden="1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s="1" t="s">
        <v>52</v>
      </c>
      <c r="J965">
        <v>1.3</v>
      </c>
      <c r="K965">
        <v>1</v>
      </c>
      <c r="L965">
        <v>0.77</v>
      </c>
      <c r="M965" t="s">
        <v>79</v>
      </c>
      <c r="N965" t="s">
        <v>31</v>
      </c>
      <c r="O965">
        <v>4</v>
      </c>
      <c r="P965">
        <v>3</v>
      </c>
      <c r="Q965" t="str">
        <f t="shared" si="15"/>
        <v>Average</v>
      </c>
    </row>
    <row r="966" spans="1:17" x14ac:dyDescent="0.25">
      <c r="A966" s="3" t="s">
        <v>2016</v>
      </c>
      <c r="B966" s="3" t="s">
        <v>2017</v>
      </c>
      <c r="C966" s="3" t="s">
        <v>88</v>
      </c>
      <c r="D966" s="3">
        <v>59</v>
      </c>
      <c r="E966" s="3" t="s">
        <v>77</v>
      </c>
      <c r="F966" s="3" t="s">
        <v>28</v>
      </c>
      <c r="G966" s="3" t="s">
        <v>84</v>
      </c>
      <c r="H966" s="3">
        <v>40</v>
      </c>
      <c r="I966" s="4">
        <v>100</v>
      </c>
      <c r="J966" s="3">
        <v>2.6</v>
      </c>
      <c r="M966" s="3" t="s">
        <v>22</v>
      </c>
      <c r="N966" s="3" t="s">
        <v>38</v>
      </c>
      <c r="O966" s="3">
        <v>16</v>
      </c>
      <c r="P966" s="3">
        <v>5</v>
      </c>
      <c r="Q966" s="3" t="str">
        <f t="shared" si="15"/>
        <v>Average</v>
      </c>
    </row>
    <row r="967" spans="1:17" customFormat="1" hidden="1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s="1" t="s">
        <v>132</v>
      </c>
      <c r="J967">
        <v>2.7</v>
      </c>
      <c r="L967">
        <v>0.72</v>
      </c>
      <c r="M967" t="s">
        <v>74</v>
      </c>
      <c r="N967" t="s">
        <v>38</v>
      </c>
      <c r="O967">
        <v>5</v>
      </c>
      <c r="P967">
        <v>1</v>
      </c>
      <c r="Q967" t="str">
        <f t="shared" si="15"/>
        <v>Average</v>
      </c>
    </row>
    <row r="968" spans="1:17" x14ac:dyDescent="0.25">
      <c r="A968" s="3" t="s">
        <v>2020</v>
      </c>
      <c r="B968" s="3" t="s">
        <v>2021</v>
      </c>
      <c r="C968" s="3" t="s">
        <v>70</v>
      </c>
      <c r="D968" s="3">
        <v>44</v>
      </c>
      <c r="E968" s="3" t="s">
        <v>123</v>
      </c>
      <c r="F968" s="3" t="s">
        <v>124</v>
      </c>
      <c r="G968" s="3" t="s">
        <v>125</v>
      </c>
      <c r="H968" s="3">
        <v>9</v>
      </c>
      <c r="I968" s="4">
        <v>40</v>
      </c>
      <c r="K968" s="3">
        <v>0</v>
      </c>
      <c r="L968" s="3">
        <v>0.7</v>
      </c>
      <c r="M968" s="3" t="s">
        <v>22</v>
      </c>
      <c r="N968" s="3" t="s">
        <v>67</v>
      </c>
      <c r="O968" s="3">
        <v>9</v>
      </c>
      <c r="P968" s="3">
        <v>2</v>
      </c>
      <c r="Q968" s="3" t="str">
        <f t="shared" si="15"/>
        <v>Average</v>
      </c>
    </row>
    <row r="969" spans="1:17" x14ac:dyDescent="0.25">
      <c r="A969" s="3" t="s">
        <v>2022</v>
      </c>
      <c r="B969" s="3" t="s">
        <v>2023</v>
      </c>
      <c r="C969" s="3" t="s">
        <v>26</v>
      </c>
      <c r="D969" s="3">
        <v>36</v>
      </c>
      <c r="E969" s="3" t="s">
        <v>77</v>
      </c>
      <c r="F969" s="3" t="s">
        <v>28</v>
      </c>
      <c r="G969" s="3" t="s">
        <v>89</v>
      </c>
      <c r="H969" s="3">
        <v>13</v>
      </c>
      <c r="I969" s="4">
        <v>30</v>
      </c>
      <c r="J969" s="3">
        <v>3.6</v>
      </c>
      <c r="K969" s="3">
        <v>0</v>
      </c>
      <c r="L969" s="3">
        <v>0.86</v>
      </c>
      <c r="M969" s="3" t="s">
        <v>79</v>
      </c>
      <c r="N969" s="3" t="s">
        <v>67</v>
      </c>
      <c r="O969" s="3">
        <v>8</v>
      </c>
      <c r="P969" s="3">
        <v>3</v>
      </c>
      <c r="Q969" s="3" t="str">
        <f t="shared" si="15"/>
        <v>GOOD</v>
      </c>
    </row>
    <row r="970" spans="1:17" x14ac:dyDescent="0.25">
      <c r="A970" s="3" t="s">
        <v>2024</v>
      </c>
      <c r="B970" s="3" t="s">
        <v>2025</v>
      </c>
      <c r="C970" s="3" t="s">
        <v>88</v>
      </c>
      <c r="D970" s="3">
        <v>26</v>
      </c>
      <c r="E970" s="3" t="s">
        <v>104</v>
      </c>
      <c r="F970" s="3" t="s">
        <v>105</v>
      </c>
      <c r="G970" s="3" t="s">
        <v>36</v>
      </c>
      <c r="H970" s="3">
        <v>1</v>
      </c>
      <c r="I970" s="4">
        <v>75</v>
      </c>
      <c r="J970" s="3">
        <v>3</v>
      </c>
      <c r="K970" s="3">
        <v>1</v>
      </c>
      <c r="M970" s="3" t="s">
        <v>79</v>
      </c>
      <c r="N970" s="3" t="s">
        <v>67</v>
      </c>
      <c r="O970" s="3">
        <v>4</v>
      </c>
      <c r="P970" s="3">
        <v>3</v>
      </c>
      <c r="Q970" s="3" t="str">
        <f t="shared" si="15"/>
        <v>Average</v>
      </c>
    </row>
    <row r="971" spans="1:17" customFormat="1" hidden="1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I971" s="1"/>
      <c r="J971">
        <v>0</v>
      </c>
      <c r="K971">
        <v>0</v>
      </c>
      <c r="L971">
        <v>0.82</v>
      </c>
      <c r="M971" t="s">
        <v>22</v>
      </c>
      <c r="N971" t="s">
        <v>31</v>
      </c>
      <c r="O971">
        <v>1</v>
      </c>
      <c r="P971">
        <v>1</v>
      </c>
      <c r="Q971" t="str">
        <f t="shared" si="15"/>
        <v>Average</v>
      </c>
    </row>
    <row r="972" spans="1:17" customFormat="1" hidden="1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s="1" t="s">
        <v>63</v>
      </c>
      <c r="J972">
        <v>0</v>
      </c>
      <c r="K972" t="b">
        <v>1</v>
      </c>
      <c r="L972">
        <v>0.81</v>
      </c>
      <c r="M972" t="s">
        <v>22</v>
      </c>
      <c r="N972" t="s">
        <v>31</v>
      </c>
      <c r="O972">
        <v>5</v>
      </c>
      <c r="P972">
        <v>1</v>
      </c>
      <c r="Q972" t="str">
        <f t="shared" si="15"/>
        <v>Average</v>
      </c>
    </row>
    <row r="973" spans="1:17" customFormat="1" hidden="1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s="1" t="s">
        <v>43</v>
      </c>
      <c r="J973">
        <v>3.1</v>
      </c>
      <c r="K973">
        <v>1</v>
      </c>
      <c r="L973">
        <v>0.76</v>
      </c>
      <c r="M973" t="s">
        <v>53</v>
      </c>
      <c r="N973" t="s">
        <v>31</v>
      </c>
      <c r="O973">
        <v>1</v>
      </c>
      <c r="P973">
        <v>2</v>
      </c>
      <c r="Q973" t="str">
        <f t="shared" si="15"/>
        <v>Average</v>
      </c>
    </row>
    <row r="974" spans="1:17" customFormat="1" hidden="1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s="1" t="s">
        <v>120</v>
      </c>
      <c r="J974">
        <v>3.9</v>
      </c>
      <c r="K974" t="s">
        <v>37</v>
      </c>
      <c r="L974">
        <v>0.9</v>
      </c>
      <c r="M974" t="s">
        <v>79</v>
      </c>
      <c r="N974" t="s">
        <v>38</v>
      </c>
      <c r="O974">
        <v>5</v>
      </c>
      <c r="P974">
        <v>1</v>
      </c>
      <c r="Q974" t="str">
        <f t="shared" si="15"/>
        <v>GOOD</v>
      </c>
    </row>
    <row r="975" spans="1:17" x14ac:dyDescent="0.25">
      <c r="A975" s="3" t="s">
        <v>2034</v>
      </c>
      <c r="B975" s="3" t="s">
        <v>2035</v>
      </c>
      <c r="C975" s="3" t="s">
        <v>70</v>
      </c>
      <c r="D975" s="3">
        <v>35</v>
      </c>
      <c r="E975" s="3" t="s">
        <v>123</v>
      </c>
      <c r="F975" s="3" t="s">
        <v>124</v>
      </c>
      <c r="G975" s="3" t="s">
        <v>100</v>
      </c>
      <c r="H975" s="3">
        <v>14</v>
      </c>
      <c r="I975" s="4">
        <v>30</v>
      </c>
      <c r="J975" s="3">
        <v>1.6</v>
      </c>
      <c r="K975" s="3" t="s">
        <v>85</v>
      </c>
      <c r="L975" s="3">
        <v>0.67</v>
      </c>
      <c r="M975" s="3" t="s">
        <v>22</v>
      </c>
      <c r="N975" s="3" t="s">
        <v>31</v>
      </c>
      <c r="O975" s="3">
        <v>8</v>
      </c>
      <c r="P975" s="3">
        <v>9</v>
      </c>
      <c r="Q975" s="3" t="str">
        <f t="shared" si="15"/>
        <v>Average</v>
      </c>
    </row>
    <row r="976" spans="1:17" customFormat="1" hidden="1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I976" s="1"/>
      <c r="J976">
        <v>1.8</v>
      </c>
      <c r="K976" t="s">
        <v>170</v>
      </c>
      <c r="L976">
        <v>0.61</v>
      </c>
      <c r="M976" t="s">
        <v>22</v>
      </c>
      <c r="N976" t="s">
        <v>23</v>
      </c>
      <c r="O976">
        <v>5</v>
      </c>
      <c r="P976">
        <v>3</v>
      </c>
      <c r="Q976" t="str">
        <f t="shared" si="15"/>
        <v>Average</v>
      </c>
    </row>
    <row r="977" spans="1:17" x14ac:dyDescent="0.25">
      <c r="A977" s="3" t="s">
        <v>2038</v>
      </c>
      <c r="B977" s="3" t="s">
        <v>2039</v>
      </c>
      <c r="C977" s="3" t="s">
        <v>34</v>
      </c>
      <c r="D977" s="3">
        <v>53</v>
      </c>
      <c r="E977" s="3" t="s">
        <v>123</v>
      </c>
      <c r="F977" s="3" t="s">
        <v>124</v>
      </c>
      <c r="G977" s="3" t="s">
        <v>125</v>
      </c>
      <c r="H977" s="3">
        <v>27</v>
      </c>
      <c r="I977" s="4">
        <v>100</v>
      </c>
      <c r="J977" s="3">
        <v>3.7</v>
      </c>
      <c r="K977" s="3" t="s">
        <v>170</v>
      </c>
      <c r="L977" s="3">
        <v>0.73</v>
      </c>
      <c r="M977" s="3" t="s">
        <v>79</v>
      </c>
      <c r="N977" s="3" t="s">
        <v>23</v>
      </c>
      <c r="O977" s="3">
        <v>13</v>
      </c>
      <c r="P977" s="3">
        <v>5</v>
      </c>
      <c r="Q977" s="3" t="str">
        <f t="shared" si="15"/>
        <v>GOOD</v>
      </c>
    </row>
    <row r="978" spans="1:17" x14ac:dyDescent="0.25">
      <c r="A978" s="3" t="s">
        <v>2040</v>
      </c>
      <c r="B978" s="3" t="s">
        <v>2041</v>
      </c>
      <c r="C978" s="3" t="s">
        <v>41</v>
      </c>
      <c r="D978" s="3">
        <v>38</v>
      </c>
      <c r="E978" s="3" t="s">
        <v>135</v>
      </c>
      <c r="F978" s="3" t="s">
        <v>136</v>
      </c>
      <c r="G978" s="3" t="s">
        <v>100</v>
      </c>
      <c r="H978" s="3">
        <v>7</v>
      </c>
      <c r="I978" s="4">
        <v>75</v>
      </c>
      <c r="K978" s="3">
        <v>0</v>
      </c>
      <c r="M978" s="3" t="s">
        <v>22</v>
      </c>
      <c r="N978" s="3" t="s">
        <v>67</v>
      </c>
      <c r="O978" s="3">
        <v>6</v>
      </c>
      <c r="P978" s="3">
        <v>4</v>
      </c>
      <c r="Q978" s="3" t="str">
        <f t="shared" si="15"/>
        <v>Average</v>
      </c>
    </row>
    <row r="979" spans="1:17" x14ac:dyDescent="0.25">
      <c r="A979" s="3" t="s">
        <v>2042</v>
      </c>
      <c r="B979" s="3" t="s">
        <v>2043</v>
      </c>
      <c r="C979" s="3" t="s">
        <v>108</v>
      </c>
      <c r="D979" s="3">
        <v>57</v>
      </c>
      <c r="E979" s="3" t="s">
        <v>77</v>
      </c>
      <c r="F979" s="3" t="s">
        <v>28</v>
      </c>
      <c r="G979" s="3" t="s">
        <v>89</v>
      </c>
      <c r="H979" s="3">
        <v>29</v>
      </c>
      <c r="I979" s="4">
        <v>75</v>
      </c>
      <c r="J979" s="3">
        <v>4.0999999999999996</v>
      </c>
      <c r="K979" s="3" t="s">
        <v>37</v>
      </c>
      <c r="L979" s="3">
        <v>0.9</v>
      </c>
      <c r="M979" s="3" t="s">
        <v>53</v>
      </c>
      <c r="N979" s="3" t="s">
        <v>31</v>
      </c>
      <c r="O979" s="3">
        <v>10</v>
      </c>
      <c r="P979" s="3">
        <v>14</v>
      </c>
      <c r="Q979" s="3" t="str">
        <f t="shared" si="15"/>
        <v>GOOD</v>
      </c>
    </row>
    <row r="980" spans="1:17" customFormat="1" hidden="1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s="1" t="s">
        <v>181</v>
      </c>
      <c r="J980">
        <v>1.4</v>
      </c>
      <c r="K980" t="b">
        <v>1</v>
      </c>
      <c r="L980">
        <v>0.64</v>
      </c>
      <c r="M980" t="s">
        <v>79</v>
      </c>
      <c r="N980" t="s">
        <v>23</v>
      </c>
      <c r="O980">
        <v>4</v>
      </c>
      <c r="P980">
        <v>1</v>
      </c>
      <c r="Q980" t="str">
        <f t="shared" si="15"/>
        <v>Average</v>
      </c>
    </row>
    <row r="981" spans="1:17" x14ac:dyDescent="0.25">
      <c r="A981" s="3" t="s">
        <v>2046</v>
      </c>
      <c r="B981" s="3" t="s">
        <v>2047</v>
      </c>
      <c r="C981" s="3" t="s">
        <v>56</v>
      </c>
      <c r="D981" s="3">
        <v>43</v>
      </c>
      <c r="E981" s="3" t="s">
        <v>82</v>
      </c>
      <c r="F981" s="3" t="s">
        <v>83</v>
      </c>
      <c r="G981" s="3" t="s">
        <v>42</v>
      </c>
      <c r="H981" s="3">
        <v>2</v>
      </c>
      <c r="I981" s="4">
        <v>100</v>
      </c>
      <c r="J981" s="3">
        <v>1.1000000000000001</v>
      </c>
      <c r="K981" s="3">
        <v>1</v>
      </c>
      <c r="L981" s="3">
        <v>0.63</v>
      </c>
      <c r="M981" s="3" t="s">
        <v>53</v>
      </c>
      <c r="N981" s="3" t="s">
        <v>67</v>
      </c>
      <c r="O981" s="3">
        <v>4</v>
      </c>
      <c r="P981" s="3">
        <v>1</v>
      </c>
      <c r="Q981" s="3" t="str">
        <f t="shared" si="15"/>
        <v>Average</v>
      </c>
    </row>
    <row r="982" spans="1:17" customFormat="1" hidden="1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s="1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  <c r="Q982" t="str">
        <f t="shared" si="15"/>
        <v>GOOD</v>
      </c>
    </row>
    <row r="983" spans="1:17" x14ac:dyDescent="0.25">
      <c r="A983" s="3" t="s">
        <v>2050</v>
      </c>
      <c r="B983" s="3" t="s">
        <v>2051</v>
      </c>
      <c r="C983" s="3" t="s">
        <v>103</v>
      </c>
      <c r="D983" s="3">
        <v>26</v>
      </c>
      <c r="E983" s="3" t="s">
        <v>118</v>
      </c>
      <c r="F983" s="3" t="s">
        <v>119</v>
      </c>
      <c r="G983" s="3" t="s">
        <v>89</v>
      </c>
      <c r="H983" s="3">
        <v>8</v>
      </c>
      <c r="I983" s="4">
        <v>20</v>
      </c>
      <c r="J983" s="3">
        <v>3.6</v>
      </c>
      <c r="K983" s="3">
        <v>0</v>
      </c>
      <c r="L983" s="3">
        <v>0.67</v>
      </c>
      <c r="M983" s="3" t="s">
        <v>53</v>
      </c>
      <c r="N983" s="3" t="s">
        <v>38</v>
      </c>
      <c r="O983" s="3">
        <v>14</v>
      </c>
      <c r="P983" s="3">
        <v>7</v>
      </c>
      <c r="Q983" s="3" t="str">
        <f t="shared" si="15"/>
        <v>GOOD</v>
      </c>
    </row>
    <row r="984" spans="1:17" customFormat="1" hidden="1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s="1" t="s">
        <v>43</v>
      </c>
      <c r="J984">
        <v>0</v>
      </c>
      <c r="K984" t="s">
        <v>170</v>
      </c>
      <c r="L984">
        <v>0.97</v>
      </c>
      <c r="M984" t="s">
        <v>53</v>
      </c>
      <c r="N984" t="s">
        <v>23</v>
      </c>
      <c r="O984">
        <v>4</v>
      </c>
      <c r="P984">
        <v>3</v>
      </c>
      <c r="Q984" t="str">
        <f t="shared" si="15"/>
        <v>Average</v>
      </c>
    </row>
    <row r="985" spans="1:17" customFormat="1" hidden="1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s="1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  <c r="Q985" t="str">
        <f t="shared" si="15"/>
        <v>GOOD</v>
      </c>
    </row>
    <row r="986" spans="1:17" x14ac:dyDescent="0.25">
      <c r="A986" s="3" t="s">
        <v>2056</v>
      </c>
      <c r="B986" s="3" t="s">
        <v>2057</v>
      </c>
      <c r="C986" s="3" t="s">
        <v>56</v>
      </c>
      <c r="D986" s="3">
        <v>48</v>
      </c>
      <c r="E986" s="3" t="s">
        <v>164</v>
      </c>
      <c r="F986" s="3" t="s">
        <v>165</v>
      </c>
      <c r="G986" s="3" t="s">
        <v>42</v>
      </c>
      <c r="H986" s="3">
        <v>8</v>
      </c>
      <c r="I986" s="4">
        <v>50</v>
      </c>
      <c r="K986" s="3">
        <v>1</v>
      </c>
      <c r="L986" s="3">
        <v>0.73</v>
      </c>
      <c r="M986" s="3" t="s">
        <v>53</v>
      </c>
      <c r="N986" s="3" t="s">
        <v>31</v>
      </c>
      <c r="O986" s="3">
        <v>6</v>
      </c>
      <c r="P986" s="3">
        <v>7</v>
      </c>
      <c r="Q986" s="3" t="str">
        <f t="shared" si="15"/>
        <v>Average</v>
      </c>
    </row>
    <row r="987" spans="1:17" x14ac:dyDescent="0.25">
      <c r="A987" s="3" t="s">
        <v>2058</v>
      </c>
      <c r="B987" s="3" t="s">
        <v>2059</v>
      </c>
      <c r="C987" s="3" t="s">
        <v>56</v>
      </c>
      <c r="D987" s="3">
        <v>60</v>
      </c>
      <c r="E987" s="3" t="s">
        <v>201</v>
      </c>
      <c r="F987" s="3" t="s">
        <v>83</v>
      </c>
      <c r="G987" s="3" t="s">
        <v>21</v>
      </c>
      <c r="H987" s="3">
        <v>39</v>
      </c>
      <c r="I987" s="4">
        <v>20</v>
      </c>
      <c r="J987" s="3">
        <v>1.4</v>
      </c>
      <c r="K987" s="3" t="b">
        <v>1</v>
      </c>
      <c r="L987" s="3">
        <v>0.86</v>
      </c>
      <c r="M987" s="3" t="s">
        <v>53</v>
      </c>
      <c r="N987" s="3" t="s">
        <v>23</v>
      </c>
      <c r="O987" s="3">
        <v>20</v>
      </c>
      <c r="P987" s="3">
        <v>12</v>
      </c>
      <c r="Q987" s="3" t="str">
        <f t="shared" si="15"/>
        <v>Average</v>
      </c>
    </row>
    <row r="988" spans="1:17" x14ac:dyDescent="0.25">
      <c r="A988" s="3" t="s">
        <v>2060</v>
      </c>
      <c r="B988" s="3" t="s">
        <v>2061</v>
      </c>
      <c r="C988" s="3" t="s">
        <v>108</v>
      </c>
      <c r="D988" s="3">
        <v>26</v>
      </c>
      <c r="E988" s="3" t="s">
        <v>150</v>
      </c>
      <c r="F988" s="3" t="s">
        <v>151</v>
      </c>
      <c r="G988" s="3" t="s">
        <v>125</v>
      </c>
      <c r="I988" s="4">
        <v>50</v>
      </c>
      <c r="J988" s="3">
        <v>0</v>
      </c>
      <c r="K988" s="3" t="s">
        <v>78</v>
      </c>
      <c r="L988" s="3">
        <v>81</v>
      </c>
      <c r="M988" s="3" t="s">
        <v>22</v>
      </c>
      <c r="N988" s="3" t="s">
        <v>31</v>
      </c>
      <c r="O988" s="3">
        <v>4</v>
      </c>
      <c r="P988" s="3">
        <v>1</v>
      </c>
      <c r="Q988" s="3" t="str">
        <f t="shared" si="15"/>
        <v>Average</v>
      </c>
    </row>
    <row r="989" spans="1:17" customFormat="1" hidden="1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s="1" t="s">
        <v>30</v>
      </c>
      <c r="J989">
        <v>4.3</v>
      </c>
      <c r="K989">
        <v>1</v>
      </c>
      <c r="L989">
        <v>0.74</v>
      </c>
      <c r="M989" t="s">
        <v>79</v>
      </c>
      <c r="N989" t="s">
        <v>38</v>
      </c>
      <c r="O989">
        <v>13</v>
      </c>
      <c r="P989">
        <v>3</v>
      </c>
      <c r="Q989" t="str">
        <f t="shared" si="15"/>
        <v>GOOD</v>
      </c>
    </row>
    <row r="990" spans="1:17" customFormat="1" hidden="1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s="1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  <c r="Q990" t="str">
        <f t="shared" si="15"/>
        <v>Average</v>
      </c>
    </row>
    <row r="991" spans="1:17" x14ac:dyDescent="0.25">
      <c r="A991" s="3" t="s">
        <v>2066</v>
      </c>
      <c r="B991" s="3" t="s">
        <v>2067</v>
      </c>
      <c r="C991" s="3" t="s">
        <v>108</v>
      </c>
      <c r="D991" s="3">
        <v>37</v>
      </c>
      <c r="E991" s="3" t="s">
        <v>27</v>
      </c>
      <c r="F991" s="3" t="s">
        <v>28</v>
      </c>
      <c r="G991" s="3" t="s">
        <v>36</v>
      </c>
      <c r="H991" s="3">
        <v>4</v>
      </c>
      <c r="I991" s="4">
        <v>75</v>
      </c>
      <c r="J991" s="3">
        <v>3.2</v>
      </c>
      <c r="K991" s="3" t="b">
        <v>0</v>
      </c>
      <c r="L991" s="3">
        <v>0.76</v>
      </c>
      <c r="M991" s="3" t="s">
        <v>74</v>
      </c>
      <c r="N991" s="3" t="s">
        <v>38</v>
      </c>
      <c r="O991" s="3">
        <v>5</v>
      </c>
      <c r="P991" s="3">
        <v>1</v>
      </c>
      <c r="Q991" s="3" t="str">
        <f t="shared" si="15"/>
        <v>Average</v>
      </c>
    </row>
    <row r="992" spans="1:17" x14ac:dyDescent="0.25">
      <c r="A992" s="3" t="s">
        <v>2068</v>
      </c>
      <c r="B992" s="3" t="s">
        <v>2069</v>
      </c>
      <c r="C992" s="3" t="s">
        <v>26</v>
      </c>
      <c r="D992" s="3">
        <v>21</v>
      </c>
      <c r="E992" s="3" t="s">
        <v>82</v>
      </c>
      <c r="F992" s="3" t="s">
        <v>83</v>
      </c>
      <c r="G992" s="3" t="s">
        <v>51</v>
      </c>
      <c r="H992" s="3">
        <v>2</v>
      </c>
      <c r="I992" s="4">
        <v>100</v>
      </c>
      <c r="J992" s="3">
        <v>3.7</v>
      </c>
      <c r="K992" s="3" t="s">
        <v>78</v>
      </c>
      <c r="L992" s="3">
        <v>73</v>
      </c>
      <c r="M992" s="3" t="s">
        <v>79</v>
      </c>
      <c r="N992" s="3" t="s">
        <v>31</v>
      </c>
      <c r="O992" s="3">
        <v>2</v>
      </c>
      <c r="P992" s="3">
        <v>3</v>
      </c>
      <c r="Q992" s="3" t="str">
        <f t="shared" si="15"/>
        <v>GOOD</v>
      </c>
    </row>
    <row r="993" spans="1:17" customFormat="1" hidden="1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s="1" t="s">
        <v>109</v>
      </c>
      <c r="J993">
        <v>4.9000000000000004</v>
      </c>
      <c r="K993" t="b">
        <v>0</v>
      </c>
      <c r="L993">
        <v>0.69</v>
      </c>
      <c r="M993" t="s">
        <v>79</v>
      </c>
      <c r="N993" t="s">
        <v>31</v>
      </c>
      <c r="O993">
        <v>16</v>
      </c>
      <c r="P993">
        <v>2</v>
      </c>
      <c r="Q993" t="str">
        <f t="shared" si="15"/>
        <v>GOOD</v>
      </c>
    </row>
    <row r="994" spans="1:17" customFormat="1" hidden="1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s="1" t="s">
        <v>181</v>
      </c>
      <c r="J994">
        <v>3.2</v>
      </c>
      <c r="K994">
        <v>0</v>
      </c>
      <c r="L994">
        <v>0.79</v>
      </c>
      <c r="M994" t="s">
        <v>74</v>
      </c>
      <c r="N994" t="s">
        <v>38</v>
      </c>
      <c r="O994">
        <v>20</v>
      </c>
      <c r="P994">
        <v>7</v>
      </c>
      <c r="Q994" t="str">
        <f t="shared" si="15"/>
        <v>Average</v>
      </c>
    </row>
    <row r="995" spans="1:17" x14ac:dyDescent="0.25">
      <c r="A995" s="3" t="s">
        <v>2074</v>
      </c>
      <c r="B995" s="3" t="s">
        <v>2075</v>
      </c>
      <c r="C995" s="3" t="s">
        <v>34</v>
      </c>
      <c r="D995" s="3">
        <v>46</v>
      </c>
      <c r="E995" s="3" t="s">
        <v>135</v>
      </c>
      <c r="F995" s="3" t="s">
        <v>136</v>
      </c>
      <c r="G995" s="3" t="s">
        <v>29</v>
      </c>
      <c r="H995" s="3">
        <v>8</v>
      </c>
      <c r="I995" s="4">
        <v>20</v>
      </c>
      <c r="J995" s="3">
        <v>2.2000000000000002</v>
      </c>
      <c r="L995" s="3">
        <v>89</v>
      </c>
      <c r="M995" s="3" t="s">
        <v>79</v>
      </c>
      <c r="N995" s="3" t="s">
        <v>23</v>
      </c>
      <c r="O995" s="3">
        <v>7</v>
      </c>
      <c r="P995" s="3">
        <v>13</v>
      </c>
      <c r="Q995" s="3" t="str">
        <f t="shared" si="15"/>
        <v>Average</v>
      </c>
    </row>
    <row r="996" spans="1:17" x14ac:dyDescent="0.25">
      <c r="A996" s="3" t="s">
        <v>2076</v>
      </c>
      <c r="B996" s="3" t="s">
        <v>2077</v>
      </c>
      <c r="C996" s="3" t="s">
        <v>88</v>
      </c>
      <c r="D996" s="3">
        <v>34</v>
      </c>
      <c r="E996" s="3" t="s">
        <v>164</v>
      </c>
      <c r="F996" s="3" t="s">
        <v>165</v>
      </c>
      <c r="G996" s="3" t="s">
        <v>100</v>
      </c>
      <c r="H996" s="3">
        <v>8</v>
      </c>
      <c r="I996" s="4">
        <v>30</v>
      </c>
      <c r="J996" s="3">
        <v>3.9</v>
      </c>
      <c r="K996" s="3" t="s">
        <v>85</v>
      </c>
      <c r="L996" s="3">
        <v>0.95</v>
      </c>
      <c r="M996" s="3" t="s">
        <v>79</v>
      </c>
      <c r="N996" s="3" t="s">
        <v>38</v>
      </c>
      <c r="O996" s="3">
        <v>10</v>
      </c>
      <c r="P996" s="3">
        <v>3</v>
      </c>
      <c r="Q996" s="3" t="str">
        <f t="shared" si="15"/>
        <v>GOOD</v>
      </c>
    </row>
    <row r="997" spans="1:17" x14ac:dyDescent="0.25">
      <c r="A997" s="3" t="s">
        <v>2078</v>
      </c>
      <c r="B997" s="3" t="s">
        <v>2079</v>
      </c>
      <c r="C997" s="3" t="s">
        <v>108</v>
      </c>
      <c r="D997" s="3">
        <v>56</v>
      </c>
      <c r="E997" s="3" t="s">
        <v>71</v>
      </c>
      <c r="F997" s="3" t="s">
        <v>72</v>
      </c>
      <c r="G997" s="3" t="s">
        <v>100</v>
      </c>
      <c r="H997" s="3">
        <v>13</v>
      </c>
      <c r="I997" s="4">
        <v>100</v>
      </c>
      <c r="J997" s="3">
        <v>0</v>
      </c>
      <c r="K997" s="3" t="s">
        <v>170</v>
      </c>
      <c r="L997" s="3">
        <v>0.68</v>
      </c>
      <c r="M997" s="3" t="s">
        <v>79</v>
      </c>
      <c r="N997" s="3" t="s">
        <v>31</v>
      </c>
      <c r="O997" s="3">
        <v>8</v>
      </c>
      <c r="P997" s="3">
        <v>3</v>
      </c>
      <c r="Q997" s="3" t="str">
        <f t="shared" si="15"/>
        <v>Average</v>
      </c>
    </row>
    <row r="998" spans="1:17" customFormat="1" hidden="1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s="1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  <c r="Q998" t="str">
        <f t="shared" si="15"/>
        <v>Average</v>
      </c>
    </row>
    <row r="999" spans="1:17" x14ac:dyDescent="0.25">
      <c r="A999" s="3" t="s">
        <v>2082</v>
      </c>
      <c r="B999" s="3" t="s">
        <v>2083</v>
      </c>
      <c r="C999" s="3" t="s">
        <v>46</v>
      </c>
      <c r="D999" s="3">
        <v>37</v>
      </c>
      <c r="E999" s="3" t="s">
        <v>96</v>
      </c>
      <c r="F999" s="3" t="s">
        <v>97</v>
      </c>
      <c r="G999" s="3" t="s">
        <v>59</v>
      </c>
      <c r="H999" s="3">
        <v>15</v>
      </c>
      <c r="I999" s="4">
        <v>75</v>
      </c>
      <c r="K999" s="3" t="b">
        <v>0</v>
      </c>
      <c r="L999" s="3">
        <v>0.94</v>
      </c>
      <c r="M999" s="3" t="s">
        <v>74</v>
      </c>
      <c r="N999" s="3" t="s">
        <v>31</v>
      </c>
      <c r="O999" s="3">
        <v>14</v>
      </c>
      <c r="P999" s="3">
        <v>12</v>
      </c>
      <c r="Q999" s="3" t="str">
        <f t="shared" si="15"/>
        <v>Average</v>
      </c>
    </row>
    <row r="1000" spans="1:17" x14ac:dyDescent="0.25">
      <c r="A1000" s="3" t="s">
        <v>2084</v>
      </c>
      <c r="B1000" s="3" t="s">
        <v>2085</v>
      </c>
      <c r="C1000" s="3" t="s">
        <v>56</v>
      </c>
      <c r="D1000" s="3">
        <v>46</v>
      </c>
      <c r="E1000" s="3" t="s">
        <v>135</v>
      </c>
      <c r="F1000" s="3" t="s">
        <v>136</v>
      </c>
      <c r="G1000" s="3" t="s">
        <v>125</v>
      </c>
      <c r="H1000" s="3">
        <v>22</v>
      </c>
      <c r="I1000" s="4">
        <v>100</v>
      </c>
      <c r="J1000" s="3">
        <v>2.8</v>
      </c>
      <c r="K1000" s="3" t="s">
        <v>78</v>
      </c>
      <c r="L1000" s="3">
        <v>97</v>
      </c>
      <c r="M1000" s="3" t="s">
        <v>79</v>
      </c>
      <c r="N1000" s="3" t="s">
        <v>38</v>
      </c>
      <c r="O1000" s="3">
        <v>12</v>
      </c>
      <c r="P1000" s="3">
        <v>6</v>
      </c>
      <c r="Q1000" s="3" t="str">
        <f t="shared" si="15"/>
        <v>Average</v>
      </c>
    </row>
    <row r="1001" spans="1:17" s="5" customFormat="1" ht="12.75" customHeight="1" x14ac:dyDescent="0.25">
      <c r="A1001" s="3" t="s">
        <v>2086</v>
      </c>
      <c r="B1001" s="3" t="s">
        <v>2087</v>
      </c>
      <c r="C1001" s="3" t="s">
        <v>88</v>
      </c>
      <c r="D1001" s="3">
        <v>36</v>
      </c>
      <c r="E1001" s="3" t="s">
        <v>190</v>
      </c>
      <c r="F1001" s="3" t="s">
        <v>83</v>
      </c>
      <c r="G1001" s="3" t="s">
        <v>84</v>
      </c>
      <c r="H1001" s="3">
        <v>18</v>
      </c>
      <c r="I1001" s="4" t="s">
        <v>2088</v>
      </c>
      <c r="J1001" s="3">
        <v>1.7</v>
      </c>
      <c r="K1001" s="3">
        <v>1</v>
      </c>
      <c r="L1001" s="3">
        <v>72</v>
      </c>
      <c r="M1001" s="3" t="s">
        <v>79</v>
      </c>
      <c r="N1001" s="3" t="s">
        <v>23</v>
      </c>
      <c r="O1001" s="3">
        <v>15</v>
      </c>
      <c r="P1001" s="3">
        <v>14</v>
      </c>
      <c r="Q1001" s="3" t="str">
        <f t="shared" si="15"/>
        <v>Average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3CFC-33D9-4F05-A269-040061EEFC14}">
  <dimension ref="B1:F7"/>
  <sheetViews>
    <sheetView workbookViewId="0">
      <selection activeCell="F7" sqref="F7"/>
    </sheetView>
  </sheetViews>
  <sheetFormatPr defaultRowHeight="15" x14ac:dyDescent="0.25"/>
  <sheetData>
    <row r="1" spans="2:6" x14ac:dyDescent="0.25">
      <c r="C1">
        <v>3</v>
      </c>
      <c r="F1">
        <v>35</v>
      </c>
    </row>
    <row r="2" spans="2:6" x14ac:dyDescent="0.25">
      <c r="C2">
        <v>9</v>
      </c>
      <c r="F2">
        <v>65</v>
      </c>
    </row>
    <row r="3" spans="2:6" x14ac:dyDescent="0.25">
      <c r="C3">
        <v>12</v>
      </c>
      <c r="F3">
        <v>95</v>
      </c>
    </row>
    <row r="4" spans="2:6" x14ac:dyDescent="0.25">
      <c r="C4">
        <v>24</v>
      </c>
      <c r="F4">
        <v>110</v>
      </c>
    </row>
    <row r="5" spans="2:6" x14ac:dyDescent="0.25">
      <c r="C5">
        <v>27</v>
      </c>
      <c r="F5">
        <v>150</v>
      </c>
    </row>
    <row r="6" spans="2:6" x14ac:dyDescent="0.25">
      <c r="C6">
        <v>90</v>
      </c>
      <c r="F6">
        <v>170</v>
      </c>
    </row>
    <row r="7" spans="2:6" x14ac:dyDescent="0.25">
      <c r="B7" t="s">
        <v>2089</v>
      </c>
      <c r="C7">
        <f>MIN(C1:C6)</f>
        <v>3</v>
      </c>
      <c r="E7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Formulas IF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2025-12-22T09:54:13Z</dcterms:created>
  <dcterms:modified xsi:type="dcterms:W3CDTF">2025-12-22T14:48:27Z</dcterms:modified>
</cp:coreProperties>
</file>